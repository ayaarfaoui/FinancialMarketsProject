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ASUS\OneDrive - Ministere de l'Enseignement Superieur et de la Recherche Scientifique\Group 13_FIN350 Project\"/>
    </mc:Choice>
  </mc:AlternateContent>
  <xr:revisionPtr revIDLastSave="0" documentId="13_ncr:1_{4282760B-B46D-40A8-B6E5-A2E13D582A3E}" xr6:coauthVersionLast="47" xr6:coauthVersionMax="47" xr10:uidLastSave="{00000000-0000-0000-0000-000000000000}"/>
  <bookViews>
    <workbookView xWindow="-120" yWindow="-120" windowWidth="20730" windowHeight="11160" firstSheet="1" activeTab="1" xr2:uid="{00000000-000D-0000-FFFF-FFFF00000000}"/>
  </bookViews>
  <sheets>
    <sheet name="Students ' Information" sheetId="6" r:id="rId1"/>
    <sheet name="Dashboard" sheetId="5" r:id="rId2"/>
    <sheet name="Portfolio Daily Return" sheetId="2" r:id="rId3"/>
    <sheet name="KPIs" sheetId="3" r:id="rId4"/>
    <sheet name="KRIs" sheetId="4" r:id="rId5"/>
    <sheet name="Daily Stocks Performance" sheetId="1"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4" l="1"/>
  <c r="B14" i="5"/>
  <c r="A15" i="5"/>
  <c r="B15" i="5"/>
  <c r="A16" i="5" s="1"/>
  <c r="C15" i="5"/>
  <c r="D15" i="5"/>
  <c r="C16" i="5" s="1"/>
  <c r="E15" i="5"/>
  <c r="D16" i="5" s="1"/>
  <c r="F15" i="5"/>
  <c r="B16" i="5" s="1"/>
  <c r="G15" i="5"/>
  <c r="H15" i="5"/>
  <c r="I15" i="5"/>
  <c r="E16" i="5" s="1"/>
  <c r="J15" i="5"/>
  <c r="F16" i="5" s="1"/>
  <c r="J4" i="2"/>
  <c r="K15" i="5" l="1"/>
  <c r="U4" i="5" l="1"/>
  <c r="Z4" i="5" s="1"/>
  <c r="AI3" i="1"/>
  <c r="AI4" i="1"/>
  <c r="AI5" i="1"/>
  <c r="AI6" i="1"/>
  <c r="AI7" i="1"/>
  <c r="AI8" i="1"/>
  <c r="AI9" i="1"/>
  <c r="AI10" i="1"/>
  <c r="AI11" i="1"/>
  <c r="AI12" i="1"/>
  <c r="AI13" i="1"/>
  <c r="H28" i="4"/>
  <c r="D16" i="4" l="1"/>
  <c r="D5" i="4"/>
  <c r="D6" i="4"/>
  <c r="D7" i="4" l="1"/>
  <c r="D14" i="4"/>
  <c r="H4" i="2" l="1"/>
  <c r="I14" i="2"/>
  <c r="B6" i="2"/>
  <c r="H14" i="2"/>
  <c r="H13" i="2"/>
  <c r="H12" i="2"/>
  <c r="H11" i="2"/>
  <c r="H10" i="2"/>
  <c r="H9" i="2"/>
  <c r="H8" i="2"/>
  <c r="H7" i="2"/>
  <c r="H6" i="2"/>
  <c r="H5" i="2"/>
  <c r="J14" i="2"/>
  <c r="J13" i="2"/>
  <c r="J12" i="2"/>
  <c r="J11" i="2"/>
  <c r="J10" i="2"/>
  <c r="J9" i="2"/>
  <c r="J8" i="2"/>
  <c r="J7" i="2"/>
  <c r="J6" i="2"/>
  <c r="J5" i="2"/>
  <c r="J3" i="2"/>
  <c r="B14" i="2"/>
  <c r="G14" i="2"/>
  <c r="F14" i="2"/>
  <c r="E14" i="2"/>
  <c r="D14" i="2"/>
  <c r="C14" i="2"/>
  <c r="B12" i="2"/>
  <c r="I9" i="2"/>
  <c r="I8" i="2"/>
  <c r="I7" i="2"/>
  <c r="I6" i="2"/>
  <c r="I5" i="2"/>
  <c r="I4" i="2"/>
  <c r="G4" i="2"/>
  <c r="B8" i="2"/>
  <c r="B7" i="2"/>
  <c r="G8" i="2"/>
  <c r="G5" i="2"/>
  <c r="G6" i="2"/>
  <c r="G7" i="2"/>
  <c r="G9" i="2"/>
  <c r="G10" i="2"/>
  <c r="I10" i="2" s="1"/>
  <c r="G11" i="2"/>
  <c r="G12" i="2"/>
  <c r="G13" i="2"/>
  <c r="E7" i="2"/>
  <c r="I3" i="2"/>
  <c r="H3" i="2"/>
  <c r="B5" i="2"/>
  <c r="E13" i="2"/>
  <c r="E12" i="2"/>
  <c r="E11" i="2"/>
  <c r="E10" i="2"/>
  <c r="E9" i="2"/>
  <c r="E8" i="2"/>
  <c r="E6" i="2"/>
  <c r="E5" i="2"/>
  <c r="E3" i="2"/>
  <c r="D5" i="2"/>
  <c r="D6" i="2"/>
  <c r="D7" i="2"/>
  <c r="D8" i="2"/>
  <c r="D9" i="2"/>
  <c r="D10" i="2"/>
  <c r="D11" i="2"/>
  <c r="D12" i="2"/>
  <c r="D13" i="2"/>
  <c r="D4" i="2"/>
  <c r="C5" i="2"/>
  <c r="C6" i="2"/>
  <c r="C7" i="2"/>
  <c r="C8" i="2"/>
  <c r="C9" i="2"/>
  <c r="C10" i="2"/>
  <c r="C11" i="2"/>
  <c r="C12" i="2"/>
  <c r="C13" i="2"/>
  <c r="C4" i="2"/>
  <c r="B4" i="2"/>
  <c r="E4" i="2" s="1"/>
  <c r="F13" i="2"/>
  <c r="F12" i="2"/>
  <c r="F11" i="2"/>
  <c r="F10" i="2"/>
  <c r="F9" i="2"/>
  <c r="F8" i="2"/>
  <c r="F7" i="2"/>
  <c r="F6" i="2"/>
  <c r="F5" i="2"/>
  <c r="F4" i="2"/>
  <c r="F3" i="2"/>
  <c r="G3" i="2" s="1"/>
  <c r="D3" i="2"/>
  <c r="C3" i="2"/>
  <c r="I13" i="2" l="1"/>
  <c r="I12" i="2"/>
  <c r="I11" i="2"/>
</calcChain>
</file>

<file path=xl/sharedStrings.xml><?xml version="1.0" encoding="utf-8"?>
<sst xmlns="http://schemas.openxmlformats.org/spreadsheetml/2006/main" count="258" uniqueCount="122">
  <si>
    <t>GROUP 13_FIN350 PROJECT</t>
  </si>
  <si>
    <t>Students ' Information</t>
  </si>
  <si>
    <t>Family Name</t>
  </si>
  <si>
    <t>Name</t>
  </si>
  <si>
    <t>Major/Minor</t>
  </si>
  <si>
    <t>ID</t>
  </si>
  <si>
    <t xml:space="preserve">Arfaoui </t>
  </si>
  <si>
    <t>Eya</t>
  </si>
  <si>
    <t>FIN/IT</t>
  </si>
  <si>
    <t>Ben Attia</t>
  </si>
  <si>
    <t>Isra</t>
  </si>
  <si>
    <t>FIN/ACCT</t>
  </si>
  <si>
    <t>04960548</t>
  </si>
  <si>
    <t>Labidi</t>
  </si>
  <si>
    <t>Mohamed Aziz</t>
  </si>
  <si>
    <t>Lassoued</t>
  </si>
  <si>
    <t>Malek</t>
  </si>
  <si>
    <t>2024 - 2025</t>
  </si>
  <si>
    <t>Overall Performance</t>
  </si>
  <si>
    <t>Starting Balance:</t>
  </si>
  <si>
    <t>Ending Balance:</t>
  </si>
  <si>
    <t>Gain:</t>
  </si>
  <si>
    <t>Return:</t>
  </si>
  <si>
    <t>Expected Annual Return:</t>
  </si>
  <si>
    <t>Daily Stocks value</t>
  </si>
  <si>
    <t>Daily Cash Flows</t>
  </si>
  <si>
    <t>Daily Return</t>
  </si>
  <si>
    <t>MGR</t>
  </si>
  <si>
    <t>SFBT</t>
  </si>
  <si>
    <t>SOTUV</t>
  </si>
  <si>
    <t>SPDI</t>
  </si>
  <si>
    <t>SAH</t>
  </si>
  <si>
    <t>MPBS</t>
  </si>
  <si>
    <t>OTH</t>
  </si>
  <si>
    <t>TINV</t>
  </si>
  <si>
    <t>ARTES</t>
  </si>
  <si>
    <t>STPAP</t>
  </si>
  <si>
    <t>food and beverages</t>
  </si>
  <si>
    <t>Manufacturing</t>
  </si>
  <si>
    <t>Finance and Investment</t>
  </si>
  <si>
    <t>consumer goods</t>
  </si>
  <si>
    <t>Technology and Manufacturing</t>
  </si>
  <si>
    <t>Automotive distribution</t>
  </si>
  <si>
    <t>basic materials</t>
  </si>
  <si>
    <t>Portfolio diversification</t>
  </si>
  <si>
    <t>Day</t>
  </si>
  <si>
    <t>Stocks Value</t>
  </si>
  <si>
    <t>Amount Bought</t>
  </si>
  <si>
    <t>Amount Sold</t>
  </si>
  <si>
    <t>Amount Hold</t>
  </si>
  <si>
    <t>Available To Invest</t>
  </si>
  <si>
    <t xml:space="preserve">Portfolio Value </t>
  </si>
  <si>
    <t>Cumulative Cash Flows</t>
  </si>
  <si>
    <t>Cash Flows</t>
  </si>
  <si>
    <t xml:space="preserve"> </t>
  </si>
  <si>
    <t>Here is the proof that on December 31st, our Portfolio had a cumulative cash flow of 0.340 dt that matches a positive return of 0.12 % (277.820/277.480)</t>
  </si>
  <si>
    <t>We intended to stop trading on December 31st, but the market closed before our sell orders could be executed, leaving them pending.</t>
  </si>
  <si>
    <t>Visualization</t>
  </si>
  <si>
    <t>Time Weighted Analysis</t>
  </si>
  <si>
    <t>Money Weighted Analysis</t>
  </si>
  <si>
    <t xml:space="preserve">SHARPE RATIO </t>
  </si>
  <si>
    <t xml:space="preserve">Expected Portfolio Return </t>
  </si>
  <si>
    <t>Less than 1</t>
  </si>
  <si>
    <t>Bad</t>
  </si>
  <si>
    <t>Portfolio 's Standard Deviation</t>
  </si>
  <si>
    <t>1 - 1.99</t>
  </si>
  <si>
    <t>Acceptable to Good</t>
  </si>
  <si>
    <t>Risk Free Rate</t>
  </si>
  <si>
    <t>2 - 2.99</t>
  </si>
  <si>
    <t>Very Good</t>
  </si>
  <si>
    <t xml:space="preserve">Portfolio 's Sharpe Ratio </t>
  </si>
  <si>
    <t>More than 3</t>
  </si>
  <si>
    <t>Excellent</t>
  </si>
  <si>
    <t>SORTINO RATIO</t>
  </si>
  <si>
    <t xml:space="preserve">Downside Deviation </t>
  </si>
  <si>
    <t xml:space="preserve">Risk Free Rate </t>
  </si>
  <si>
    <t xml:space="preserve">Sortino Ratio </t>
  </si>
  <si>
    <t>BETA</t>
  </si>
  <si>
    <t>Weights</t>
  </si>
  <si>
    <t>Beta</t>
  </si>
  <si>
    <t>Portfolio 's Beta =</t>
  </si>
  <si>
    <t>*The weights did not change during the project period so each date have the same daily average beta</t>
  </si>
  <si>
    <t>sah</t>
  </si>
  <si>
    <t>spdi</t>
  </si>
  <si>
    <t>sfbt</t>
  </si>
  <si>
    <t>sotuver</t>
  </si>
  <si>
    <t>sotumag</t>
  </si>
  <si>
    <t>mpbs</t>
  </si>
  <si>
    <t>artes</t>
  </si>
  <si>
    <t>oth</t>
  </si>
  <si>
    <t>tunivest</t>
  </si>
  <si>
    <t>SOTUVER</t>
  </si>
  <si>
    <t>SOTUMAG</t>
  </si>
  <si>
    <t xml:space="preserve">OTH </t>
  </si>
  <si>
    <t>TUNINV</t>
  </si>
  <si>
    <t>Date</t>
  </si>
  <si>
    <t>Price</t>
  </si>
  <si>
    <t>Return SAH</t>
  </si>
  <si>
    <t>Return SPDI</t>
  </si>
  <si>
    <t xml:space="preserve">Rturn SFBT </t>
  </si>
  <si>
    <t>Return STVR</t>
  </si>
  <si>
    <t>Return MGR</t>
  </si>
  <si>
    <t>Return MPBS</t>
  </si>
  <si>
    <t>Return ARTES</t>
  </si>
  <si>
    <t>Return OTH</t>
  </si>
  <si>
    <t>Return TUNINV</t>
  </si>
  <si>
    <t>Purchase Price</t>
  </si>
  <si>
    <t>Dec 31, 2024</t>
  </si>
  <si>
    <t>Dec 30, 2024</t>
  </si>
  <si>
    <t>Dec 27, 2024</t>
  </si>
  <si>
    <t>Dec 26, 2024</t>
  </si>
  <si>
    <t>Dec 25, 2024</t>
  </si>
  <si>
    <t>Dec 25 2024</t>
  </si>
  <si>
    <t>Dec 24, 2024</t>
  </si>
  <si>
    <t>Dec 24 2024</t>
  </si>
  <si>
    <t>Dec 23, 2024</t>
  </si>
  <si>
    <t>Dec 23 2024</t>
  </si>
  <si>
    <t>Dec 20, 2024</t>
  </si>
  <si>
    <t>Dec 19, 2024</t>
  </si>
  <si>
    <t>Dec 18, 2024</t>
  </si>
  <si>
    <t>Dec 16, 2024</t>
  </si>
  <si>
    <t xml:space="preserve">*All of these returns were calculated based on the purchase price of each stock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</si>
</sst>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yyyy"/>
    <numFmt numFmtId="165" formatCode="0.000"/>
    <numFmt numFmtId="166" formatCode="00.00%"/>
    <numFmt numFmtId="167" formatCode="0.0%"/>
  </numFmts>
  <fonts count="25">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rgb="FF232526"/>
      <name val="Segoe UI"/>
      <family val="2"/>
    </font>
    <font>
      <b/>
      <sz val="11"/>
      <color rgb="FF232526"/>
      <name val="Segoe UI"/>
      <family val="2"/>
    </font>
    <font>
      <sz val="8"/>
      <name val="Calibri"/>
      <family val="2"/>
      <scheme val="minor"/>
    </font>
    <font>
      <sz val="10"/>
      <color theme="1"/>
      <name val="Calibri"/>
      <family val="2"/>
      <scheme val="minor"/>
    </font>
    <font>
      <b/>
      <i/>
      <sz val="36"/>
      <color theme="0"/>
      <name val="Calibri Light"/>
      <family val="2"/>
      <scheme val="major"/>
    </font>
    <font>
      <b/>
      <sz val="12"/>
      <color theme="0"/>
      <name val="Calibri Light"/>
      <family val="2"/>
      <scheme val="major"/>
    </font>
    <font>
      <b/>
      <i/>
      <sz val="16"/>
      <color theme="0"/>
      <name val="Calibri Light"/>
      <family val="2"/>
      <scheme val="major"/>
    </font>
    <font>
      <b/>
      <sz val="14"/>
      <color theme="0"/>
      <name val="Calibri Light"/>
      <family val="2"/>
      <scheme val="major"/>
    </font>
    <font>
      <b/>
      <sz val="11"/>
      <color theme="0"/>
      <name val="Segoe UI"/>
      <family val="2"/>
    </font>
    <font>
      <b/>
      <sz val="12"/>
      <color theme="1"/>
      <name val="Calibri"/>
      <family val="2"/>
      <scheme val="minor"/>
    </font>
    <font>
      <b/>
      <sz val="12"/>
      <color theme="0"/>
      <name val="Calibri"/>
      <family val="2"/>
      <scheme val="minor"/>
    </font>
    <font>
      <b/>
      <i/>
      <sz val="20"/>
      <color theme="0"/>
      <name val="Calibri"/>
      <family val="2"/>
      <scheme val="minor"/>
    </font>
    <font>
      <b/>
      <sz val="9"/>
      <color theme="1"/>
      <name val="&quot;Open Sans&quot;"/>
    </font>
    <font>
      <b/>
      <sz val="9"/>
      <color theme="0"/>
      <name val="&quot;Open Sans&quot;"/>
    </font>
    <font>
      <sz val="14"/>
      <color theme="1"/>
      <name val="Calibri"/>
      <family val="2"/>
      <scheme val="minor"/>
    </font>
    <font>
      <sz val="16"/>
      <color theme="1"/>
      <name val="Calibri"/>
      <family val="2"/>
      <scheme val="minor"/>
    </font>
    <font>
      <sz val="20"/>
      <color theme="1"/>
      <name val="Arial Black"/>
      <family val="2"/>
    </font>
    <font>
      <sz val="48"/>
      <color theme="1"/>
      <name val="Algerian"/>
      <family val="5"/>
    </font>
    <font>
      <b/>
      <i/>
      <sz val="20"/>
      <color theme="0"/>
      <name val="Calibri Light"/>
      <family val="2"/>
    </font>
    <font>
      <b/>
      <sz val="14"/>
      <color theme="3"/>
      <name val="Calibri"/>
      <family val="2"/>
      <scheme val="minor"/>
    </font>
    <font>
      <b/>
      <sz val="14"/>
      <color theme="1"/>
      <name val="Calibri"/>
      <family val="2"/>
      <scheme val="minor"/>
    </font>
  </fonts>
  <fills count="24">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4"/>
        <bgColor rgb="FF38761D"/>
      </patternFill>
    </fill>
    <fill>
      <patternFill patternType="solid">
        <fgColor theme="4"/>
        <bgColor indexed="64"/>
      </patternFill>
    </fill>
    <fill>
      <patternFill patternType="solid">
        <fgColor theme="4" tint="0.79998168889431442"/>
        <bgColor indexed="64"/>
      </patternFill>
    </fill>
    <fill>
      <patternFill patternType="solid">
        <fgColor rgb="FFC00000"/>
        <bgColor indexed="64"/>
      </patternFill>
    </fill>
    <fill>
      <patternFill patternType="solid">
        <fgColor theme="4" tint="0.39997558519241921"/>
        <bgColor indexed="64"/>
      </patternFill>
    </fill>
    <fill>
      <patternFill patternType="solid">
        <fgColor rgb="FFFF0000"/>
        <bgColor indexed="64"/>
      </patternFill>
    </fill>
    <fill>
      <patternFill patternType="solid">
        <fgColor rgb="FF6AA84F"/>
        <bgColor rgb="FF6AA84F"/>
      </patternFill>
    </fill>
    <fill>
      <patternFill patternType="solid">
        <fgColor rgb="FF274E13"/>
        <bgColor rgb="FF274E13"/>
      </patternFill>
    </fill>
    <fill>
      <patternFill patternType="solid">
        <fgColor theme="0"/>
        <bgColor rgb="FFCC0000"/>
      </patternFill>
    </fill>
    <fill>
      <patternFill patternType="solid">
        <fgColor theme="0"/>
        <bgColor rgb="FFD9EAD3"/>
      </patternFill>
    </fill>
    <fill>
      <patternFill patternType="solid">
        <fgColor theme="0"/>
        <bgColor rgb="FF6AA84F"/>
      </patternFill>
    </fill>
    <fill>
      <patternFill patternType="solid">
        <fgColor theme="0"/>
        <bgColor rgb="FF274E13"/>
      </patternFill>
    </fill>
    <fill>
      <patternFill patternType="solid">
        <fgColor theme="5" tint="0.39997558519241921"/>
        <bgColor rgb="FFD9EAD3"/>
      </patternFill>
    </fill>
    <fill>
      <patternFill patternType="solid">
        <fgColor rgb="FFFF0000"/>
        <bgColor rgb="FFCC0000"/>
      </patternFill>
    </fill>
    <fill>
      <patternFill patternType="solid">
        <fgColor theme="9" tint="0.39997558519241921"/>
        <bgColor indexed="64"/>
      </patternFill>
    </fill>
    <fill>
      <patternFill patternType="solid">
        <fgColor rgb="FF00B050"/>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4" tint="-0.249977111117893"/>
        <bgColor indexed="64"/>
      </patternFill>
    </fill>
  </fills>
  <borders count="27">
    <border>
      <left/>
      <right/>
      <top/>
      <bottom/>
      <diagonal/>
    </border>
    <border>
      <left style="thin">
        <color indexed="64"/>
      </left>
      <right/>
      <top/>
      <bottom/>
      <diagonal/>
    </border>
    <border>
      <left/>
      <right style="thin">
        <color indexed="64"/>
      </right>
      <top/>
      <bottom/>
      <diagonal/>
    </border>
    <border>
      <left/>
      <right/>
      <top/>
      <bottom style="double">
        <color indexed="64"/>
      </bottom>
      <diagonal/>
    </border>
    <border>
      <left/>
      <right/>
      <top/>
      <bottom style="medium">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top style="double">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107">
    <xf numFmtId="0" fontId="0" fillId="0" borderId="0" xfId="0"/>
    <xf numFmtId="0" fontId="0" fillId="2" borderId="0" xfId="0" applyFill="1"/>
    <xf numFmtId="165" fontId="0" fillId="2" borderId="0" xfId="0" applyNumberFormat="1" applyFill="1"/>
    <xf numFmtId="167" fontId="0" fillId="2" borderId="0" xfId="1" applyNumberFormat="1" applyFont="1" applyFill="1"/>
    <xf numFmtId="164" fontId="7" fillId="2" borderId="1" xfId="0" applyNumberFormat="1" applyFont="1" applyFill="1" applyBorder="1" applyAlignment="1">
      <alignment horizontal="center" vertical="center"/>
    </xf>
    <xf numFmtId="166" fontId="7" fillId="2" borderId="0" xfId="0" applyNumberFormat="1" applyFont="1" applyFill="1" applyAlignment="1">
      <alignment horizontal="center" vertical="center"/>
    </xf>
    <xf numFmtId="165" fontId="7" fillId="2" borderId="0" xfId="0" applyNumberFormat="1" applyFont="1" applyFill="1" applyAlignment="1">
      <alignment horizontal="center" vertical="center"/>
    </xf>
    <xf numFmtId="0" fontId="0" fillId="2" borderId="7" xfId="0" applyFill="1" applyBorder="1"/>
    <xf numFmtId="0" fontId="9" fillId="4" borderId="5" xfId="0" applyFont="1" applyFill="1" applyBorder="1" applyAlignment="1">
      <alignment horizontal="center" vertical="center" wrapText="1"/>
    </xf>
    <xf numFmtId="0" fontId="9" fillId="4" borderId="3" xfId="0" applyFont="1" applyFill="1" applyBorder="1" applyAlignment="1">
      <alignment horizontal="center" vertical="center" wrapText="1"/>
    </xf>
    <xf numFmtId="166" fontId="9" fillId="4" borderId="3" xfId="0" applyNumberFormat="1" applyFont="1" applyFill="1" applyBorder="1" applyAlignment="1">
      <alignment horizontal="center" vertical="center" wrapText="1"/>
    </xf>
    <xf numFmtId="0" fontId="9" fillId="5" borderId="3" xfId="0" applyFont="1" applyFill="1" applyBorder="1" applyAlignment="1">
      <alignment horizontal="center" vertical="center"/>
    </xf>
    <xf numFmtId="165" fontId="0" fillId="2" borderId="0" xfId="0" applyNumberFormat="1" applyFill="1" applyAlignment="1">
      <alignment horizontal="center" vertical="center"/>
    </xf>
    <xf numFmtId="0" fontId="4" fillId="2" borderId="0" xfId="0" applyFont="1" applyFill="1" applyAlignment="1">
      <alignment horizontal="left" vertical="center"/>
    </xf>
    <xf numFmtId="10" fontId="5" fillId="2" borderId="0" xfId="0" applyNumberFormat="1" applyFont="1" applyFill="1" applyAlignment="1">
      <alignment horizontal="right" vertical="center" readingOrder="1"/>
    </xf>
    <xf numFmtId="0" fontId="12" fillId="7" borderId="0" xfId="0" applyFont="1" applyFill="1" applyAlignment="1">
      <alignment horizontal="left" vertical="center" wrapText="1"/>
    </xf>
    <xf numFmtId="0" fontId="12" fillId="7" borderId="0" xfId="0" applyFont="1" applyFill="1" applyAlignment="1">
      <alignment horizontal="right" vertical="center" wrapText="1"/>
    </xf>
    <xf numFmtId="0" fontId="2" fillId="2" borderId="0" xfId="0" applyFont="1" applyFill="1"/>
    <xf numFmtId="0" fontId="14" fillId="5" borderId="3" xfId="0" applyFont="1" applyFill="1" applyBorder="1" applyAlignment="1">
      <alignment horizontal="center" vertical="center"/>
    </xf>
    <xf numFmtId="0" fontId="14" fillId="5" borderId="6" xfId="0" applyFont="1" applyFill="1" applyBorder="1"/>
    <xf numFmtId="0" fontId="4" fillId="2" borderId="3" xfId="0" applyFont="1" applyFill="1" applyBorder="1" applyAlignment="1">
      <alignment horizontal="left" vertical="center"/>
    </xf>
    <xf numFmtId="10" fontId="5" fillId="2" borderId="3" xfId="0" applyNumberFormat="1" applyFont="1" applyFill="1" applyBorder="1" applyAlignment="1">
      <alignment horizontal="right" vertical="center" readingOrder="1"/>
    </xf>
    <xf numFmtId="0" fontId="0" fillId="2" borderId="3" xfId="0" applyFill="1" applyBorder="1"/>
    <xf numFmtId="10" fontId="0" fillId="2" borderId="0" xfId="1" applyNumberFormat="1" applyFont="1" applyFill="1" applyAlignment="1"/>
    <xf numFmtId="2" fontId="13" fillId="9" borderId="0" xfId="0" applyNumberFormat="1" applyFont="1" applyFill="1"/>
    <xf numFmtId="0" fontId="16" fillId="0" borderId="8" xfId="0" applyFont="1" applyBorder="1" applyAlignment="1">
      <alignment horizontal="center"/>
    </xf>
    <xf numFmtId="0" fontId="17" fillId="2" borderId="0" xfId="0" applyFont="1" applyFill="1" applyAlignment="1">
      <alignment horizontal="center"/>
    </xf>
    <xf numFmtId="0" fontId="17" fillId="15" borderId="0" xfId="0" applyFont="1" applyFill="1" applyAlignment="1">
      <alignment horizontal="center"/>
    </xf>
    <xf numFmtId="0" fontId="17" fillId="14" borderId="0" xfId="0" applyFont="1" applyFill="1" applyAlignment="1">
      <alignment horizontal="center"/>
    </xf>
    <xf numFmtId="0" fontId="17" fillId="13" borderId="0" xfId="0" applyFont="1" applyFill="1" applyAlignment="1">
      <alignment horizontal="center"/>
    </xf>
    <xf numFmtId="0" fontId="17" fillId="12" borderId="0" xfId="0" applyFont="1" applyFill="1" applyAlignment="1">
      <alignment horizontal="center"/>
    </xf>
    <xf numFmtId="0" fontId="16" fillId="16" borderId="9" xfId="0" applyFont="1" applyFill="1" applyBorder="1" applyAlignment="1">
      <alignment horizontal="center"/>
    </xf>
    <xf numFmtId="0" fontId="16" fillId="10" borderId="9" xfId="0" applyFont="1" applyFill="1" applyBorder="1" applyAlignment="1">
      <alignment horizontal="center"/>
    </xf>
    <xf numFmtId="0" fontId="16" fillId="11" borderId="9" xfId="0" applyFont="1" applyFill="1" applyBorder="1" applyAlignment="1">
      <alignment horizontal="center"/>
    </xf>
    <xf numFmtId="0" fontId="15" fillId="2" borderId="0" xfId="0" applyFont="1" applyFill="1" applyAlignment="1">
      <alignment vertical="center"/>
    </xf>
    <xf numFmtId="0" fontId="16" fillId="17" borderId="9" xfId="0" applyFont="1" applyFill="1" applyBorder="1" applyAlignment="1">
      <alignment horizontal="center"/>
    </xf>
    <xf numFmtId="166" fontId="0" fillId="2" borderId="0" xfId="0" applyNumberFormat="1" applyFill="1"/>
    <xf numFmtId="10" fontId="0" fillId="2" borderId="0" xfId="0" applyNumberFormat="1" applyFill="1"/>
    <xf numFmtId="165" fontId="13" fillId="9" borderId="0" xfId="0" applyNumberFormat="1" applyFont="1" applyFill="1"/>
    <xf numFmtId="9" fontId="0" fillId="2" borderId="0" xfId="1" applyFont="1" applyFill="1" applyBorder="1"/>
    <xf numFmtId="0" fontId="3" fillId="6" borderId="3" xfId="0" applyFont="1" applyFill="1" applyBorder="1" applyAlignment="1">
      <alignment horizontal="center"/>
    </xf>
    <xf numFmtId="0" fontId="13" fillId="8" borderId="0" xfId="0" applyFont="1" applyFill="1" applyAlignment="1">
      <alignment horizontal="center" vertical="center"/>
    </xf>
    <xf numFmtId="165" fontId="13" fillId="2" borderId="0" xfId="0" applyNumberFormat="1" applyFont="1" applyFill="1"/>
    <xf numFmtId="165" fontId="13" fillId="3" borderId="0" xfId="0" applyNumberFormat="1" applyFont="1" applyFill="1"/>
    <xf numFmtId="0" fontId="13" fillId="2" borderId="0" xfId="0" applyFont="1" applyFill="1" applyAlignment="1">
      <alignment horizontal="center" vertical="center"/>
    </xf>
    <xf numFmtId="0" fontId="14" fillId="2" borderId="0" xfId="0" applyFont="1" applyFill="1" applyAlignment="1">
      <alignment horizontal="center" vertical="center"/>
    </xf>
    <xf numFmtId="0" fontId="4" fillId="2" borderId="0" xfId="0" applyFont="1" applyFill="1" applyAlignment="1">
      <alignment horizontal="right" vertical="center" wrapText="1"/>
    </xf>
    <xf numFmtId="0" fontId="14" fillId="2" borderId="0" xfId="0" applyFont="1" applyFill="1"/>
    <xf numFmtId="0" fontId="4" fillId="2" borderId="0" xfId="0" applyFont="1" applyFill="1" applyAlignment="1">
      <alignment horizontal="left" vertical="center" wrapText="1"/>
    </xf>
    <xf numFmtId="14" fontId="0" fillId="18" borderId="1" xfId="0" applyNumberFormat="1" applyFill="1" applyBorder="1" applyAlignment="1">
      <alignment horizontal="center" vertical="center"/>
    </xf>
    <xf numFmtId="165" fontId="0" fillId="18" borderId="0" xfId="0" applyNumberFormat="1" applyFill="1" applyAlignment="1">
      <alignment horizontal="center" vertical="center"/>
    </xf>
    <xf numFmtId="165" fontId="7" fillId="18" borderId="0" xfId="0" applyNumberFormat="1" applyFont="1" applyFill="1" applyAlignment="1">
      <alignment horizontal="center" vertical="center"/>
    </xf>
    <xf numFmtId="10" fontId="0" fillId="18" borderId="0" xfId="1" applyNumberFormat="1" applyFont="1" applyFill="1" applyBorder="1" applyAlignment="1">
      <alignment horizontal="center" vertical="center"/>
    </xf>
    <xf numFmtId="165" fontId="0" fillId="19" borderId="0" xfId="0" applyNumberFormat="1" applyFill="1" applyAlignment="1">
      <alignment horizontal="center" vertical="center"/>
    </xf>
    <xf numFmtId="0" fontId="0" fillId="2" borderId="0" xfId="0" applyFill="1" applyAlignment="1">
      <alignment horizontal="center"/>
    </xf>
    <xf numFmtId="0" fontId="0" fillId="2" borderId="0" xfId="0" applyFill="1" applyAlignment="1">
      <alignment horizontal="center" vertical="center"/>
    </xf>
    <xf numFmtId="0" fontId="19" fillId="21" borderId="10" xfId="0" applyFont="1" applyFill="1" applyBorder="1" applyAlignment="1">
      <alignment horizontal="center" vertical="center"/>
    </xf>
    <xf numFmtId="10" fontId="19" fillId="21" borderId="10" xfId="1" applyNumberFormat="1" applyFont="1" applyFill="1" applyBorder="1" applyAlignment="1">
      <alignment horizontal="center" vertical="center"/>
    </xf>
    <xf numFmtId="0" fontId="0" fillId="6" borderId="0" xfId="0" applyFill="1"/>
    <xf numFmtId="0" fontId="0" fillId="6" borderId="0" xfId="0" applyFill="1" applyAlignment="1">
      <alignment textRotation="45"/>
    </xf>
    <xf numFmtId="0" fontId="20" fillId="2" borderId="0" xfId="0" applyFont="1" applyFill="1"/>
    <xf numFmtId="0" fontId="21" fillId="6" borderId="0" xfId="0" applyFont="1" applyFill="1"/>
    <xf numFmtId="0" fontId="3" fillId="8" borderId="14" xfId="0" applyFont="1" applyFill="1" applyBorder="1"/>
    <xf numFmtId="10" fontId="0" fillId="2" borderId="0" xfId="1" applyNumberFormat="1" applyFont="1" applyFill="1"/>
    <xf numFmtId="0" fontId="18" fillId="2" borderId="23" xfId="0" applyFont="1" applyFill="1" applyBorder="1" applyAlignment="1">
      <alignment horizontal="center" vertical="center"/>
    </xf>
    <xf numFmtId="49" fontId="18" fillId="2" borderId="23" xfId="0" applyNumberFormat="1" applyFont="1" applyFill="1" applyBorder="1" applyAlignment="1">
      <alignment horizontal="center" vertical="center"/>
    </xf>
    <xf numFmtId="0" fontId="18" fillId="2" borderId="26" xfId="0" applyFont="1" applyFill="1" applyBorder="1" applyAlignment="1">
      <alignment horizontal="center" vertical="center"/>
    </xf>
    <xf numFmtId="0" fontId="24" fillId="6" borderId="20" xfId="0" applyFont="1" applyFill="1" applyBorder="1" applyAlignment="1">
      <alignment horizontal="center" vertical="center"/>
    </xf>
    <xf numFmtId="1" fontId="18" fillId="2" borderId="23" xfId="0" applyNumberFormat="1" applyFont="1" applyFill="1" applyBorder="1" applyAlignment="1">
      <alignment horizontal="center" vertical="center"/>
    </xf>
    <xf numFmtId="0" fontId="4" fillId="2" borderId="0" xfId="0" applyFont="1" applyFill="1" applyAlignment="1">
      <alignment horizontal="right" vertical="center" wrapText="1" readingOrder="1"/>
    </xf>
    <xf numFmtId="0" fontId="4" fillId="2" borderId="3" xfId="0" applyFont="1" applyFill="1" applyBorder="1" applyAlignment="1">
      <alignment horizontal="right" vertical="center" wrapText="1" readingOrder="1"/>
    </xf>
    <xf numFmtId="10" fontId="4" fillId="2" borderId="0" xfId="0" applyNumberFormat="1" applyFont="1" applyFill="1" applyAlignment="1">
      <alignment horizontal="right" vertical="center" wrapText="1" readingOrder="1"/>
    </xf>
    <xf numFmtId="9" fontId="4" fillId="2" borderId="0" xfId="0" applyNumberFormat="1" applyFont="1" applyFill="1" applyAlignment="1">
      <alignment horizontal="right" vertical="center" wrapText="1" readingOrder="1"/>
    </xf>
    <xf numFmtId="0" fontId="18" fillId="2" borderId="0" xfId="0" applyFont="1" applyFill="1" applyAlignment="1">
      <alignment horizontal="center"/>
    </xf>
    <xf numFmtId="0" fontId="24" fillId="2" borderId="0" xfId="0" applyFont="1" applyFill="1" applyAlignment="1">
      <alignment horizontal="center"/>
    </xf>
    <xf numFmtId="0" fontId="18" fillId="2" borderId="4" xfId="0" applyFont="1" applyFill="1" applyBorder="1" applyAlignment="1">
      <alignment horizontal="center"/>
    </xf>
    <xf numFmtId="0" fontId="22" fillId="23" borderId="0" xfId="0" applyFont="1" applyFill="1" applyAlignment="1">
      <alignment horizontal="center" vertical="center"/>
    </xf>
    <xf numFmtId="0" fontId="22" fillId="23" borderId="3" xfId="0" applyFont="1" applyFill="1" applyBorder="1" applyAlignment="1">
      <alignment horizontal="center" vertical="center"/>
    </xf>
    <xf numFmtId="0" fontId="23" fillId="22" borderId="15" xfId="0" applyFont="1" applyFill="1" applyBorder="1" applyAlignment="1">
      <alignment horizontal="center"/>
    </xf>
    <xf numFmtId="0" fontId="23" fillId="22" borderId="16" xfId="0" applyFont="1" applyFill="1" applyBorder="1" applyAlignment="1">
      <alignment horizontal="center"/>
    </xf>
    <xf numFmtId="0" fontId="23" fillId="22" borderId="17" xfId="0" applyFont="1" applyFill="1" applyBorder="1" applyAlignment="1">
      <alignment horizontal="center"/>
    </xf>
    <xf numFmtId="0" fontId="24" fillId="6" borderId="18" xfId="0" applyFont="1" applyFill="1" applyBorder="1" applyAlignment="1">
      <alignment horizontal="center" vertical="center"/>
    </xf>
    <xf numFmtId="0" fontId="24" fillId="6" borderId="19" xfId="0" applyFont="1" applyFill="1" applyBorder="1" applyAlignment="1">
      <alignment horizontal="center" vertical="center"/>
    </xf>
    <xf numFmtId="0" fontId="18" fillId="2" borderId="21" xfId="0" applyFont="1" applyFill="1" applyBorder="1" applyAlignment="1">
      <alignment horizontal="center"/>
    </xf>
    <xf numFmtId="0" fontId="18" fillId="2" borderId="22" xfId="0" applyFont="1" applyFill="1" applyBorder="1" applyAlignment="1">
      <alignment horizontal="center"/>
    </xf>
    <xf numFmtId="0" fontId="18" fillId="2" borderId="24" xfId="0" applyFont="1" applyFill="1" applyBorder="1" applyAlignment="1">
      <alignment horizontal="center"/>
    </xf>
    <xf numFmtId="0" fontId="18" fillId="2" borderId="25" xfId="0" applyFont="1" applyFill="1" applyBorder="1" applyAlignment="1">
      <alignment horizontal="center"/>
    </xf>
    <xf numFmtId="0" fontId="19" fillId="20" borderId="11" xfId="0" applyFont="1" applyFill="1" applyBorder="1" applyAlignment="1">
      <alignment horizontal="center"/>
    </xf>
    <xf numFmtId="0" fontId="19" fillId="20" borderId="12" xfId="0" applyFont="1" applyFill="1" applyBorder="1" applyAlignment="1">
      <alignment horizontal="center"/>
    </xf>
    <xf numFmtId="0" fontId="19" fillId="20" borderId="13" xfId="0" applyFont="1" applyFill="1" applyBorder="1" applyAlignment="1">
      <alignment horizontal="center"/>
    </xf>
    <xf numFmtId="0" fontId="18" fillId="20" borderId="11" xfId="0" applyFont="1" applyFill="1" applyBorder="1" applyAlignment="1">
      <alignment horizontal="center"/>
    </xf>
    <xf numFmtId="0" fontId="8" fillId="5" borderId="0" xfId="0" applyFont="1" applyFill="1" applyAlignment="1">
      <alignment horizontal="center" vertical="center"/>
    </xf>
    <xf numFmtId="0" fontId="8" fillId="5" borderId="4" xfId="0" applyFont="1" applyFill="1" applyBorder="1" applyAlignment="1">
      <alignment horizontal="center" vertical="center"/>
    </xf>
    <xf numFmtId="0" fontId="10" fillId="7" borderId="0" xfId="0" applyFont="1" applyFill="1" applyAlignment="1">
      <alignment horizontal="center" vertical="center"/>
    </xf>
    <xf numFmtId="0" fontId="10" fillId="7" borderId="3" xfId="0" applyFont="1" applyFill="1" applyBorder="1" applyAlignment="1">
      <alignment horizontal="center" vertical="center"/>
    </xf>
    <xf numFmtId="0" fontId="3" fillId="2" borderId="0" xfId="0" applyFont="1" applyFill="1" applyAlignment="1">
      <alignment horizontal="left"/>
    </xf>
    <xf numFmtId="0" fontId="3" fillId="6" borderId="0" xfId="0" applyFont="1" applyFill="1" applyAlignment="1">
      <alignment horizontal="center"/>
    </xf>
    <xf numFmtId="0" fontId="3" fillId="6" borderId="2" xfId="0" applyFont="1" applyFill="1" applyBorder="1" applyAlignment="1">
      <alignment horizontal="center"/>
    </xf>
    <xf numFmtId="0" fontId="3" fillId="2" borderId="0" xfId="0" applyFont="1" applyFill="1" applyAlignment="1">
      <alignment horizontal="center"/>
    </xf>
    <xf numFmtId="0" fontId="0" fillId="2" borderId="0" xfId="0" applyFill="1" applyAlignment="1">
      <alignment horizontal="center"/>
    </xf>
    <xf numFmtId="0" fontId="0" fillId="6" borderId="0" xfId="0" applyFill="1" applyAlignment="1">
      <alignment horizontal="center"/>
    </xf>
    <xf numFmtId="0" fontId="13" fillId="8" borderId="0" xfId="0" applyFont="1" applyFill="1" applyAlignment="1">
      <alignment horizontal="center"/>
    </xf>
    <xf numFmtId="0" fontId="15" fillId="5" borderId="0" xfId="0" applyFont="1" applyFill="1" applyAlignment="1">
      <alignment horizontal="center" vertical="center"/>
    </xf>
    <xf numFmtId="0" fontId="15" fillId="5" borderId="3" xfId="0" applyFont="1" applyFill="1" applyBorder="1" applyAlignment="1">
      <alignment horizontal="center" vertical="center"/>
    </xf>
    <xf numFmtId="0" fontId="0" fillId="6" borderId="0" xfId="0" applyFill="1" applyAlignment="1">
      <alignment horizontal="center" vertical="center"/>
    </xf>
    <xf numFmtId="0" fontId="11" fillId="5" borderId="3" xfId="0" applyFont="1" applyFill="1" applyBorder="1" applyAlignment="1">
      <alignment horizontal="center"/>
    </xf>
    <xf numFmtId="0" fontId="4" fillId="2" borderId="7" xfId="0" applyFont="1" applyFill="1" applyBorder="1" applyAlignment="1">
      <alignment horizontal="center" vertical="center"/>
    </xf>
  </cellXfs>
  <cellStyles count="2">
    <cellStyle name="Normal" xfId="0" builtinId="0"/>
    <cellStyle name="Per cent" xfId="1" builtinId="5"/>
  </cellStyles>
  <dxfs count="0"/>
  <tableStyles count="0" defaultTableStyle="TableStyleMedium2" defaultPivotStyle="PivotStyleLight16"/>
  <colors>
    <mruColors>
      <color rgb="FFF856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 portfolio value (13/12 to 31/12)</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tx1">
                  <a:lumMod val="95000"/>
                  <a:lumOff val="5000"/>
                </a:schemeClr>
              </a:solidFill>
              <a:round/>
            </a:ln>
            <a:effectLst>
              <a:outerShdw dist="25400" dir="2700000" algn="tl" rotWithShape="0">
                <a:schemeClr val="accent1"/>
              </a:outerShdw>
            </a:effectLst>
          </c:spPr>
          <c:marker>
            <c:symbol val="circle"/>
            <c:size val="5"/>
            <c:spPr>
              <a:solidFill>
                <a:schemeClr val="accent2">
                  <a:lumMod val="75000"/>
                </a:schemeClr>
              </a:solidFill>
              <a:ln w="22225">
                <a:solidFill>
                  <a:schemeClr val="tx1">
                    <a:lumMod val="95000"/>
                    <a:lumOff val="5000"/>
                  </a:schemeClr>
                </a:solidFill>
                <a:round/>
              </a:ln>
              <a:effectLst/>
            </c:spPr>
          </c:marker>
          <c:dLbls>
            <c:dLbl>
              <c:idx val="6"/>
              <c:layout>
                <c:manualLayout>
                  <c:x val="-5.8755832604257804E-2"/>
                  <c:y val="-5.08434159144741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EF-4638-85AC-332DDD77D5BA}"/>
                </c:ext>
              </c:extLst>
            </c:dLbl>
            <c:dLbl>
              <c:idx val="7"/>
              <c:layout>
                <c:manualLayout>
                  <c:x val="-5.4126202974628168E-2"/>
                  <c:y val="-4.67783752640675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EF-4638-85AC-332DDD77D5BA}"/>
                </c:ext>
              </c:extLst>
            </c:dLbl>
            <c:dLbl>
              <c:idx val="10"/>
              <c:layout>
                <c:manualLayout>
                  <c:x val="-5.1811388159813357E-2"/>
                  <c:y val="-3.86482939632546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EF-4638-85AC-332DDD77D5BA}"/>
                </c:ext>
              </c:extLst>
            </c:dLbl>
            <c:dLbl>
              <c:idx val="11"/>
              <c:layout>
                <c:manualLayout>
                  <c:x val="-1.8456547098279381E-2"/>
                  <c:y val="-4.67783752640675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EF-4638-85AC-332DDD77D5B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fr-F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95000"/>
                          <a:lumOff val="5000"/>
                        </a:schemeClr>
                      </a:solidFill>
                    </a:ln>
                    <a:effectLst/>
                  </c:spPr>
                </c15:leaderLines>
              </c:ext>
            </c:extLst>
          </c:dLbls>
          <c:trendline>
            <c:spPr>
              <a:ln w="28575" cap="rnd">
                <a:solidFill>
                  <a:schemeClr val="lt1">
                    <a:alpha val="50000"/>
                  </a:schemeClr>
                </a:solidFill>
                <a:round/>
              </a:ln>
              <a:effectLst/>
            </c:spPr>
            <c:trendlineType val="linear"/>
            <c:dispRSqr val="0"/>
            <c:dispEq val="0"/>
          </c:trendline>
          <c:trendline>
            <c:spPr>
              <a:ln w="28575" cap="rnd">
                <a:solidFill>
                  <a:schemeClr val="lt1">
                    <a:alpha val="50000"/>
                  </a:schemeClr>
                </a:solidFill>
                <a:round/>
              </a:ln>
              <a:effectLst/>
            </c:spPr>
            <c:trendlineType val="linear"/>
            <c:dispRSqr val="0"/>
            <c:dispEq val="0"/>
          </c:trendline>
          <c:cat>
            <c:numRef>
              <c:f>'Portfolio Daily Return'!$A$3:$A$14</c:f>
              <c:numCache>
                <c:formatCode>d/m/yyyy</c:formatCode>
                <c:ptCount val="12"/>
                <c:pt idx="0">
                  <c:v>45639</c:v>
                </c:pt>
                <c:pt idx="1">
                  <c:v>45642</c:v>
                </c:pt>
                <c:pt idx="2">
                  <c:v>45644</c:v>
                </c:pt>
                <c:pt idx="3">
                  <c:v>45645</c:v>
                </c:pt>
                <c:pt idx="4">
                  <c:v>45646</c:v>
                </c:pt>
                <c:pt idx="5">
                  <c:v>45649</c:v>
                </c:pt>
                <c:pt idx="6">
                  <c:v>45650</c:v>
                </c:pt>
                <c:pt idx="7">
                  <c:v>45651</c:v>
                </c:pt>
                <c:pt idx="8">
                  <c:v>45652</c:v>
                </c:pt>
                <c:pt idx="9">
                  <c:v>45653</c:v>
                </c:pt>
                <c:pt idx="10">
                  <c:v>45656</c:v>
                </c:pt>
                <c:pt idx="11" formatCode="m/d/yyyy">
                  <c:v>45657</c:v>
                </c:pt>
              </c:numCache>
            </c:numRef>
          </c:cat>
          <c:val>
            <c:numRef>
              <c:f>'Portfolio Daily Return'!$B$3:$B$14</c:f>
              <c:numCache>
                <c:formatCode>0.000</c:formatCode>
                <c:ptCount val="12"/>
                <c:pt idx="0">
                  <c:v>269.57</c:v>
                </c:pt>
                <c:pt idx="1">
                  <c:v>267.87</c:v>
                </c:pt>
                <c:pt idx="2">
                  <c:v>267.49</c:v>
                </c:pt>
                <c:pt idx="3">
                  <c:v>267.82</c:v>
                </c:pt>
                <c:pt idx="4">
                  <c:v>267.66000000000003</c:v>
                </c:pt>
                <c:pt idx="5">
                  <c:v>268.13</c:v>
                </c:pt>
                <c:pt idx="6">
                  <c:v>269.11</c:v>
                </c:pt>
                <c:pt idx="7">
                  <c:v>269.60000000000002</c:v>
                </c:pt>
                <c:pt idx="8">
                  <c:v>268.45</c:v>
                </c:pt>
                <c:pt idx="9">
                  <c:v>268.32</c:v>
                </c:pt>
                <c:pt idx="10">
                  <c:v>270.43</c:v>
                </c:pt>
                <c:pt idx="11">
                  <c:v>269.91000000000003</c:v>
                </c:pt>
              </c:numCache>
            </c:numRef>
          </c:val>
          <c:smooth val="0"/>
          <c:extLst>
            <c:ext xmlns:c16="http://schemas.microsoft.com/office/drawing/2014/chart" uri="{C3380CC4-5D6E-409C-BE32-E72D297353CC}">
              <c16:uniqueId val="{00000001-8AEF-4638-85AC-332DDD77D5BA}"/>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98928143"/>
        <c:axId val="898914831"/>
      </c:lineChart>
      <c:catAx>
        <c:axId val="8989281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Days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fr-FR"/>
            </a:p>
          </c:txPr>
        </c:title>
        <c:numFmt formatCode="d/m/yyyy"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fr-FR"/>
          </a:p>
        </c:txPr>
        <c:crossAx val="898914831"/>
        <c:crosses val="autoZero"/>
        <c:auto val="0"/>
        <c:lblAlgn val="ctr"/>
        <c:lblOffset val="100"/>
        <c:noMultiLvlLbl val="0"/>
      </c:catAx>
      <c:valAx>
        <c:axId val="89891483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Stocks Value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fr-FR"/>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fr-FR"/>
          </a:p>
        </c:txPr>
        <c:crossAx val="898928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 cash-flows (13/12 to 31/12)</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fr-FR"/>
        </a:p>
      </c:txPr>
    </c:title>
    <c:autoTitleDeleted val="0"/>
    <c:plotArea>
      <c:layout/>
      <c:scatterChart>
        <c:scatterStyle val="lineMarker"/>
        <c:varyColors val="0"/>
        <c:ser>
          <c:idx val="0"/>
          <c:order val="0"/>
          <c:spPr>
            <a:ln w="28575" cap="rnd">
              <a:solidFill>
                <a:schemeClr val="tx1">
                  <a:lumMod val="95000"/>
                  <a:lumOff val="5000"/>
                </a:schemeClr>
              </a:solidFill>
              <a:round/>
            </a:ln>
            <a:effectLst>
              <a:outerShdw dist="25400" dir="2700000" algn="tl" rotWithShape="0">
                <a:schemeClr val="accent1"/>
              </a:outerShdw>
            </a:effectLst>
          </c:spPr>
          <c:marker>
            <c:symbol val="circle"/>
            <c:size val="6"/>
            <c:spPr>
              <a:solidFill>
                <a:schemeClr val="accent2">
                  <a:lumMod val="75000"/>
                </a:schemeClr>
              </a:solidFill>
              <a:ln w="22225">
                <a:solidFill>
                  <a:schemeClr val="tx1">
                    <a:lumMod val="95000"/>
                    <a:lumOff val="5000"/>
                  </a:schemeClr>
                </a:solidFill>
                <a:round/>
              </a:ln>
              <a:effectLst/>
            </c:spPr>
          </c:marker>
          <c:dLbls>
            <c:dLbl>
              <c:idx val="1"/>
              <c:layout>
                <c:manualLayout>
                  <c:x val="-3.4118227224680241E-2"/>
                  <c:y val="3.00579615048118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07C-4B86-B13A-AC4441584511}"/>
                </c:ext>
              </c:extLst>
            </c:dLbl>
            <c:dLbl>
              <c:idx val="2"/>
              <c:layout>
                <c:manualLayout>
                  <c:x val="-6.9587671369149867E-2"/>
                  <c:y val="-2.1884322386530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07C-4B86-B13A-AC4441584511}"/>
                </c:ext>
              </c:extLst>
            </c:dLbl>
            <c:dLbl>
              <c:idx val="3"/>
              <c:layout>
                <c:manualLayout>
                  <c:x val="-3.179163383936584E-2"/>
                  <c:y val="-5.32753718285215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7C-4B86-B13A-AC4441584511}"/>
                </c:ext>
              </c:extLst>
            </c:dLbl>
            <c:dLbl>
              <c:idx val="4"/>
              <c:layout>
                <c:manualLayout>
                  <c:x val="-3.4118227224680241E-2"/>
                  <c:y val="-5.32753718285213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07C-4B86-B13A-AC4441584511}"/>
                </c:ext>
              </c:extLst>
            </c:dLbl>
            <c:dLbl>
              <c:idx val="6"/>
              <c:layout>
                <c:manualLayout>
                  <c:x val="-3.1791633839365965E-2"/>
                  <c:y val="-4.86457421988917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07C-4B86-B13A-AC4441584511}"/>
                </c:ext>
              </c:extLst>
            </c:dLbl>
            <c:dLbl>
              <c:idx val="7"/>
              <c:layout>
                <c:manualLayout>
                  <c:x val="1.3811937203523467E-2"/>
                  <c:y val="2.54283318751821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07C-4B86-B13A-AC4441584511}"/>
                </c:ext>
              </c:extLst>
            </c:dLbl>
            <c:dLbl>
              <c:idx val="8"/>
              <c:layout>
                <c:manualLayout>
                  <c:x val="-3.2429206074943595E-2"/>
                  <c:y val="6.709499854184893E-2"/>
                </c:manualLayout>
              </c:layout>
              <c:tx>
                <c:rich>
                  <a:bodyPr/>
                  <a:lstStyle/>
                  <a:p>
                    <a:fld id="{1A3E7CAA-9E85-45DF-B91E-2F2231ED5976}" type="YVALUE">
                      <a:rPr lang="en-US">
                        <a:solidFill>
                          <a:schemeClr val="tx1"/>
                        </a:solidFill>
                      </a:rPr>
                      <a:pPr/>
                      <a:t>[Y VALUE]</a:t>
                    </a:fld>
                    <a:endParaRPr lang="fr-FR"/>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307C-4B86-B13A-AC4441584511}"/>
                </c:ext>
              </c:extLst>
            </c:dLbl>
            <c:dLbl>
              <c:idx val="9"/>
              <c:layout>
                <c:manualLayout>
                  <c:x val="-2.3984100326260367E-2"/>
                  <c:y val="8.561351706036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7C-4B86-B13A-AC4441584511}"/>
                </c:ext>
              </c:extLst>
            </c:dLbl>
            <c:dLbl>
              <c:idx val="10"/>
              <c:tx>
                <c:rich>
                  <a:bodyPr/>
                  <a:lstStyle/>
                  <a:p>
                    <a:fld id="{E3999804-1FEA-4CF4-A5F3-06DDA49E1042}" type="YVALUE">
                      <a:rPr lang="en-US">
                        <a:solidFill>
                          <a:schemeClr val="tx1"/>
                        </a:solidFill>
                      </a:rPr>
                      <a:pPr/>
                      <a:t>[Y VALUE]</a:t>
                    </a:fld>
                    <a:endParaRPr lang="fr-FR"/>
                  </a:p>
                </c:rich>
              </c:tx>
              <c:dLblPos val="b"/>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307C-4B86-B13A-AC4441584511}"/>
                </c:ext>
              </c:extLst>
            </c:dLbl>
            <c:dLbl>
              <c:idx val="11"/>
              <c:layout>
                <c:manualLayout>
                  <c:x val="-3.4118227224680241E-2"/>
                  <c:y val="4.8576480023330329E-2"/>
                </c:manualLayout>
              </c:layout>
              <c:tx>
                <c:rich>
                  <a:bodyPr/>
                  <a:lstStyle/>
                  <a:p>
                    <a:fld id="{DFBA1DDF-146D-4B26-9649-FE3A1B8A8E16}" type="YVALUE">
                      <a:rPr lang="en-US">
                        <a:ln>
                          <a:noFill/>
                        </a:ln>
                        <a:solidFill>
                          <a:schemeClr val="tx1"/>
                        </a:solidFill>
                      </a:rPr>
                      <a:pPr/>
                      <a:t>[Y VALUE]</a:t>
                    </a:fld>
                    <a:endParaRPr lang="fr-FR"/>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307C-4B86-B13A-AC444158451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fr-F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xVal>
            <c:numRef>
              <c:f>'Portfolio Daily Return'!$A$3:$A$14</c:f>
              <c:numCache>
                <c:formatCode>d/m/yyyy</c:formatCode>
                <c:ptCount val="12"/>
                <c:pt idx="0">
                  <c:v>45639</c:v>
                </c:pt>
                <c:pt idx="1">
                  <c:v>45642</c:v>
                </c:pt>
                <c:pt idx="2">
                  <c:v>45644</c:v>
                </c:pt>
                <c:pt idx="3">
                  <c:v>45645</c:v>
                </c:pt>
                <c:pt idx="4">
                  <c:v>45646</c:v>
                </c:pt>
                <c:pt idx="5">
                  <c:v>45649</c:v>
                </c:pt>
                <c:pt idx="6">
                  <c:v>45650</c:v>
                </c:pt>
                <c:pt idx="7">
                  <c:v>45651</c:v>
                </c:pt>
                <c:pt idx="8">
                  <c:v>45652</c:v>
                </c:pt>
                <c:pt idx="9">
                  <c:v>45653</c:v>
                </c:pt>
                <c:pt idx="10">
                  <c:v>45656</c:v>
                </c:pt>
                <c:pt idx="11" formatCode="m/d/yyyy">
                  <c:v>45657</c:v>
                </c:pt>
              </c:numCache>
            </c:numRef>
          </c:xVal>
          <c:yVal>
            <c:numRef>
              <c:f>'Portfolio Daily Return'!$J$3:$J$14</c:f>
              <c:numCache>
                <c:formatCode>0.000</c:formatCode>
                <c:ptCount val="12"/>
                <c:pt idx="0">
                  <c:v>0</c:v>
                </c:pt>
                <c:pt idx="1">
                  <c:v>-1.6999999999999886</c:v>
                </c:pt>
                <c:pt idx="2">
                  <c:v>-0.37999999999999545</c:v>
                </c:pt>
                <c:pt idx="3">
                  <c:v>0.32999999999998408</c:v>
                </c:pt>
                <c:pt idx="4">
                  <c:v>-0.15999999999996817</c:v>
                </c:pt>
                <c:pt idx="5">
                  <c:v>0.46999999999997044</c:v>
                </c:pt>
                <c:pt idx="6">
                  <c:v>0.98000000000001819</c:v>
                </c:pt>
                <c:pt idx="7">
                  <c:v>0.49000000000000909</c:v>
                </c:pt>
                <c:pt idx="8">
                  <c:v>-1.1500000000000341</c:v>
                </c:pt>
                <c:pt idx="9">
                  <c:v>-0.12999999999999545</c:v>
                </c:pt>
                <c:pt idx="10">
                  <c:v>2.1100000000000136</c:v>
                </c:pt>
                <c:pt idx="11">
                  <c:v>-0.51999999999998181</c:v>
                </c:pt>
              </c:numCache>
            </c:numRef>
          </c:yVal>
          <c:smooth val="0"/>
          <c:extLst>
            <c:ext xmlns:c16="http://schemas.microsoft.com/office/drawing/2014/chart" uri="{C3380CC4-5D6E-409C-BE32-E72D297353CC}">
              <c16:uniqueId val="{00000000-307C-4B86-B13A-AC4441584511}"/>
            </c:ext>
          </c:extLst>
        </c:ser>
        <c:dLbls>
          <c:dLblPos val="b"/>
          <c:showLegendKey val="0"/>
          <c:showVal val="1"/>
          <c:showCatName val="0"/>
          <c:showSerName val="0"/>
          <c:showPercent val="0"/>
          <c:showBubbleSize val="0"/>
        </c:dLbls>
        <c:axId val="1325954143"/>
        <c:axId val="1325962047"/>
      </c:scatterChart>
      <c:valAx>
        <c:axId val="1325954143"/>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Days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fr-FR"/>
            </a:p>
          </c:txPr>
        </c:title>
        <c:numFmt formatCode="d/m/yyyy" sourceLinked="1"/>
        <c:majorTickMark val="none"/>
        <c:minorTickMark val="none"/>
        <c:tickLblPos val="nextTo"/>
        <c:spPr>
          <a:noFill/>
          <a:ln w="9525">
            <a:solidFill>
              <a:schemeClr val="bg1"/>
            </a:solidFill>
          </a:ln>
          <a:effectLst/>
        </c:spPr>
        <c:txPr>
          <a:bodyPr rot="-5400000" spcFirstLastPara="1" vertOverflow="ellipsis" wrap="square" anchor="ctr" anchorCtr="1"/>
          <a:lstStyle/>
          <a:p>
            <a:pPr>
              <a:defRPr sz="900" b="0" i="0" u="none" strike="noStrike" kern="1200" baseline="0">
                <a:solidFill>
                  <a:schemeClr val="lt1"/>
                </a:solidFill>
                <a:latin typeface="+mn-lt"/>
                <a:ea typeface="+mn-ea"/>
                <a:cs typeface="+mn-cs"/>
              </a:defRPr>
            </a:pPr>
            <a:endParaRPr lang="fr-FR"/>
          </a:p>
        </c:txPr>
        <c:crossAx val="1325962047"/>
        <c:crosses val="autoZero"/>
        <c:crossBetween val="midCat"/>
      </c:valAx>
      <c:valAx>
        <c:axId val="1325962047"/>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Cash Flows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fr-FR"/>
            </a:p>
          </c:txPr>
        </c:title>
        <c:numFmt formatCode="0.000" sourceLinked="1"/>
        <c:majorTickMark val="none"/>
        <c:minorTickMark val="none"/>
        <c:tickLblPos val="nextTo"/>
        <c:spPr>
          <a:noFill/>
          <a:ln w="9525">
            <a:solidFill>
              <a:schemeClr val="bg1"/>
            </a:solid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fr-FR"/>
          </a:p>
        </c:txPr>
        <c:crossAx val="13259541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a:t>
            </a:r>
            <a:r>
              <a:rPr lang="en-US" baseline="0"/>
              <a:t> return </a:t>
            </a:r>
            <a:r>
              <a:rPr lang="en-US" sz="1500" b="1" i="0" u="none" strike="noStrike" cap="all" normalizeH="0" baseline="0">
                <a:effectLst/>
              </a:rPr>
              <a:t>(13/12 to 31/12)</a:t>
            </a:r>
            <a:r>
              <a:rPr lang="en-US" baseline="0"/>
              <a:t> </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spPr>
            <a:ln w="28575" cap="rnd">
              <a:solidFill>
                <a:schemeClr val="tx1">
                  <a:lumMod val="95000"/>
                  <a:lumOff val="5000"/>
                </a:schemeClr>
              </a:solidFill>
              <a:round/>
            </a:ln>
            <a:effectLst>
              <a:outerShdw dist="25400" dir="2700000" algn="tl" rotWithShape="0">
                <a:schemeClr val="accent1"/>
              </a:outerShdw>
            </a:effectLst>
          </c:spPr>
          <c:marker>
            <c:symbol val="circle"/>
            <c:size val="6"/>
            <c:spPr>
              <a:solidFill>
                <a:schemeClr val="accent2">
                  <a:lumMod val="75000"/>
                </a:schemeClr>
              </a:solidFill>
              <a:ln w="22225">
                <a:solidFill>
                  <a:schemeClr val="tx1">
                    <a:lumMod val="95000"/>
                    <a:lumOff val="5000"/>
                  </a:schemeClr>
                </a:solidFill>
                <a:round/>
              </a:ln>
              <a:effectLst/>
            </c:spPr>
          </c:marker>
          <c:xVal>
            <c:numRef>
              <c:f>'Portfolio Daily Return'!$A$3:$A$14</c:f>
              <c:numCache>
                <c:formatCode>d/m/yyyy</c:formatCode>
                <c:ptCount val="12"/>
                <c:pt idx="0">
                  <c:v>45639</c:v>
                </c:pt>
                <c:pt idx="1">
                  <c:v>45642</c:v>
                </c:pt>
                <c:pt idx="2">
                  <c:v>45644</c:v>
                </c:pt>
                <c:pt idx="3">
                  <c:v>45645</c:v>
                </c:pt>
                <c:pt idx="4">
                  <c:v>45646</c:v>
                </c:pt>
                <c:pt idx="5">
                  <c:v>45649</c:v>
                </c:pt>
                <c:pt idx="6">
                  <c:v>45650</c:v>
                </c:pt>
                <c:pt idx="7">
                  <c:v>45651</c:v>
                </c:pt>
                <c:pt idx="8">
                  <c:v>45652</c:v>
                </c:pt>
                <c:pt idx="9">
                  <c:v>45653</c:v>
                </c:pt>
                <c:pt idx="10">
                  <c:v>45656</c:v>
                </c:pt>
                <c:pt idx="11" formatCode="m/d/yyyy">
                  <c:v>45657</c:v>
                </c:pt>
              </c:numCache>
            </c:numRef>
          </c:xVal>
          <c:yVal>
            <c:numRef>
              <c:f>'Portfolio Daily Return'!$H$3:$H$14</c:f>
              <c:numCache>
                <c:formatCode>00.00%</c:formatCode>
                <c:ptCount val="12"/>
                <c:pt idx="0">
                  <c:v>0</c:v>
                </c:pt>
                <c:pt idx="1">
                  <c:v>-6.1265676805535123E-3</c:v>
                </c:pt>
                <c:pt idx="2">
                  <c:v>-1.3779099282036238E-3</c:v>
                </c:pt>
                <c:pt idx="3">
                  <c:v>1.1982570806099639E-3</c:v>
                </c:pt>
                <c:pt idx="4">
                  <c:v>-5.8027780800046474E-4</c:v>
                </c:pt>
                <c:pt idx="5">
                  <c:v>1.7055557571577834E-3</c:v>
                </c:pt>
                <c:pt idx="6">
                  <c:v>3.5502101144762287E-3</c:v>
                </c:pt>
                <c:pt idx="7">
                  <c:v>1.7688253555700275E-3</c:v>
                </c:pt>
                <c:pt idx="8">
                  <c:v>-4.143994810997924E-3</c:v>
                </c:pt>
                <c:pt idx="9">
                  <c:v>-4.7040092632796154E-4</c:v>
                </c:pt>
                <c:pt idx="10">
                  <c:v>7.6385620678420642E-3</c:v>
                </c:pt>
                <c:pt idx="11" formatCode="0.00%">
                  <c:v>-1.8682187252999272E-3</c:v>
                </c:pt>
              </c:numCache>
            </c:numRef>
          </c:yVal>
          <c:smooth val="0"/>
          <c:extLst>
            <c:ext xmlns:c16="http://schemas.microsoft.com/office/drawing/2014/chart" uri="{C3380CC4-5D6E-409C-BE32-E72D297353CC}">
              <c16:uniqueId val="{00000000-9072-4355-84E2-F98D5332B184}"/>
            </c:ext>
          </c:extLst>
        </c:ser>
        <c:dLbls>
          <c:showLegendKey val="0"/>
          <c:showVal val="0"/>
          <c:showCatName val="0"/>
          <c:showSerName val="0"/>
          <c:showPercent val="0"/>
          <c:showBubbleSize val="0"/>
        </c:dLbls>
        <c:axId val="1177583295"/>
        <c:axId val="1177583711"/>
      </c:scatterChart>
      <c:valAx>
        <c:axId val="1177583295"/>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Days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fr-FR"/>
            </a:p>
          </c:txPr>
        </c:title>
        <c:numFmt formatCode="d/m/yyyy" sourceLinked="1"/>
        <c:majorTickMark val="none"/>
        <c:minorTickMark val="none"/>
        <c:tickLblPos val="nextTo"/>
        <c:spPr>
          <a:noFill/>
          <a:ln w="9525">
            <a:solidFill>
              <a:schemeClr val="bg1"/>
            </a:solidFill>
          </a:ln>
          <a:effectLst/>
        </c:spPr>
        <c:txPr>
          <a:bodyPr rot="-5400000" spcFirstLastPara="1" vertOverflow="ellipsis" wrap="square" anchor="ctr" anchorCtr="1"/>
          <a:lstStyle/>
          <a:p>
            <a:pPr>
              <a:defRPr sz="900" b="0" i="0" u="none" strike="noStrike" kern="1200" baseline="0">
                <a:solidFill>
                  <a:schemeClr val="lt1"/>
                </a:solidFill>
                <a:latin typeface="+mn-lt"/>
                <a:ea typeface="+mn-ea"/>
                <a:cs typeface="+mn-cs"/>
              </a:defRPr>
            </a:pPr>
            <a:endParaRPr lang="fr-FR"/>
          </a:p>
        </c:txPr>
        <c:crossAx val="1177583711"/>
        <c:crosses val="autoZero"/>
        <c:crossBetween val="midCat"/>
      </c:valAx>
      <c:valAx>
        <c:axId val="1177583711"/>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Return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fr-FR"/>
            </a:p>
          </c:txPr>
        </c:title>
        <c:numFmt formatCode="00.00%" sourceLinked="1"/>
        <c:majorTickMark val="none"/>
        <c:minorTickMark val="none"/>
        <c:tickLblPos val="nextTo"/>
        <c:spPr>
          <a:noFill/>
          <a:ln w="9525">
            <a:solidFill>
              <a:schemeClr val="bg1"/>
            </a:solid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fr-FR"/>
          </a:p>
        </c:txPr>
        <c:crossAx val="11775832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portfolio composition</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fr-FR"/>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3-FFCC-48B1-A8AB-1251AEBFAC38}"/>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4-FFCC-48B1-A8AB-1251AEBFAC38}"/>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FFCC-48B1-A8AB-1251AEBFAC38}"/>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6-FFCC-48B1-A8AB-1251AEBFAC38}"/>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7-FFCC-48B1-A8AB-1251AEBFAC38}"/>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8-FFCC-48B1-A8AB-1251AEBFAC38}"/>
              </c:ext>
            </c:extLst>
          </c:dPt>
          <c:dLbls>
            <c:dLbl>
              <c:idx val="0"/>
              <c:layout>
                <c:manualLayout>
                  <c:x val="9.4029889123658852E-2"/>
                  <c:y val="3.4977204880663727E-2"/>
                </c:manualLayout>
              </c:layout>
              <c:tx>
                <c:rich>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fld id="{BEC96249-DFE9-427D-968A-9CDBDC9F1EDA}" type="CATEGORYNAME">
                      <a:rPr lang="en-US" sz="2000"/>
                      <a:pPr>
                        <a:defRPr/>
                      </a:pPr>
                      <a:t>[CATEGORY NAME]</a:t>
                    </a:fld>
                    <a:r>
                      <a:rPr lang="en-US" sz="900" baseline="0"/>
                      <a:t>, </a:t>
                    </a:r>
                    <a:fld id="{942316B8-A7E4-4B95-8566-75DC25B7D931}" type="VALUE">
                      <a:rPr lang="en-US" sz="2000" baseline="0"/>
                      <a:pPr>
                        <a:defRPr/>
                      </a:pPr>
                      <a:t>[VALUE]</a:t>
                    </a:fld>
                    <a:endParaRPr lang="en-US" sz="900" baseline="0"/>
                  </a:p>
                </c:rich>
              </c:tx>
              <c:spPr>
                <a:xfrm>
                  <a:off x="5504184" y="449562"/>
                  <a:ext cx="2826032" cy="570480"/>
                </a:xfrm>
                <a:solidFill>
                  <a:sysClr val="window" lastClr="FFFFFF">
                    <a:alpha val="90000"/>
                  </a:sysClr>
                </a:solidFill>
                <a:ln w="12700" cap="flat" cmpd="sng" algn="ctr">
                  <a:solidFill>
                    <a:srgbClr val="5B9BD5"/>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69545"/>
                        <a:gd name="adj2" fmla="val 38601"/>
                      </a:avLst>
                    </a:prstGeom>
                    <a:solidFill>
                      <a:schemeClr val="lt1">
                        <a:alpha val="90000"/>
                      </a:schemeClr>
                    </a:solidFill>
                    <a:ln w="12700" cap="flat" cmpd="sng" algn="ctr">
                      <a:solidFill>
                        <a:schemeClr val="accent1"/>
                      </a:solidFill>
                      <a:round/>
                    </a:ln>
                  </c15:spPr>
                  <c15:layout>
                    <c:manualLayout>
                      <c:w val="0.32368393533355588"/>
                      <c:h val="0.11580805870173555"/>
                    </c:manualLayout>
                  </c15:layout>
                  <c15:dlblFieldTable/>
                  <c15:showDataLabelsRange val="0"/>
                </c:ext>
                <c:ext xmlns:c16="http://schemas.microsoft.com/office/drawing/2014/chart" uri="{C3380CC4-5D6E-409C-BE32-E72D297353CC}">
                  <c16:uniqueId val="{00000003-FFCC-48B1-A8AB-1251AEBFAC38}"/>
                </c:ext>
              </c:extLst>
            </c:dLbl>
            <c:dLbl>
              <c:idx val="1"/>
              <c:layout>
                <c:manualLayout>
                  <c:x val="2.330279397914372E-2"/>
                  <c:y val="6.0678498888410287E-2"/>
                </c:manualLayout>
              </c:layout>
              <c:tx>
                <c:rich>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fld id="{0944D447-17AA-436F-AD5E-0EC14809BAC2}" type="CATEGORYNAME">
                      <a:rPr lang="en-US" sz="2400"/>
                      <a:pPr>
                        <a:defRPr>
                          <a:solidFill>
                            <a:schemeClr val="accent1"/>
                          </a:solidFill>
                        </a:defRPr>
                      </a:pPr>
                      <a:t>[CATEGORY NAME]</a:t>
                    </a:fld>
                    <a:r>
                      <a:rPr lang="en-US" sz="1800" baseline="0"/>
                      <a:t>, </a:t>
                    </a:r>
                    <a:fld id="{779C4D30-9BD8-47A7-9303-5F8D87D02DC8}" type="VALUE">
                      <a:rPr lang="en-US" sz="2400" baseline="0"/>
                      <a:pPr>
                        <a:defRPr>
                          <a:solidFill>
                            <a:schemeClr val="accent1"/>
                          </a:solidFill>
                        </a:defRPr>
                      </a:pPr>
                      <a:t>[VALUE]</a:t>
                    </a:fld>
                    <a:endParaRPr lang="en-US" sz="1800" baseline="0"/>
                  </a:p>
                </c:rich>
              </c:tx>
              <c:spPr>
                <a:xfrm>
                  <a:off x="6496201" y="1330149"/>
                  <a:ext cx="2188336" cy="811388"/>
                </a:xfrm>
                <a:solidFill>
                  <a:sysClr val="window" lastClr="FFFFFF">
                    <a:alpha val="90000"/>
                  </a:sysClr>
                </a:solidFill>
                <a:ln w="12700" cap="flat" cmpd="sng" algn="ctr">
                  <a:solidFill>
                    <a:srgbClr val="5B9BD5"/>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66001"/>
                        <a:gd name="adj2" fmla="val -3097"/>
                      </a:avLst>
                    </a:prstGeom>
                    <a:solidFill>
                      <a:schemeClr val="lt1">
                        <a:alpha val="90000"/>
                      </a:schemeClr>
                    </a:solidFill>
                    <a:ln w="12700" cap="flat" cmpd="sng" algn="ctr">
                      <a:solidFill>
                        <a:schemeClr val="accent1"/>
                      </a:solidFill>
                      <a:round/>
                    </a:ln>
                  </c15:spPr>
                  <c15:layout>
                    <c:manualLayout>
                      <c:w val="0.2506444111499479"/>
                      <c:h val="0.16471247868744501"/>
                    </c:manualLayout>
                  </c15:layout>
                  <c15:dlblFieldTable/>
                  <c15:showDataLabelsRange val="0"/>
                </c:ext>
                <c:ext xmlns:c16="http://schemas.microsoft.com/office/drawing/2014/chart" uri="{C3380CC4-5D6E-409C-BE32-E72D297353CC}">
                  <c16:uniqueId val="{00000004-FFCC-48B1-A8AB-1251AEBFAC38}"/>
                </c:ext>
              </c:extLst>
            </c:dLbl>
            <c:dLbl>
              <c:idx val="2"/>
              <c:tx>
                <c:rich>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fld id="{AAA16A95-67BF-4066-8E21-379D27F3961D}" type="CATEGORYNAME">
                      <a:rPr lang="en-US" sz="2400"/>
                      <a:pPr>
                        <a:defRPr>
                          <a:solidFill>
                            <a:schemeClr val="accent1"/>
                          </a:solidFill>
                        </a:defRPr>
                      </a:pPr>
                      <a:t>[CATEGORY NAME]</a:t>
                    </a:fld>
                    <a:r>
                      <a:rPr lang="en-US" baseline="0"/>
                      <a:t>, </a:t>
                    </a:r>
                    <a:fld id="{48CED580-1E99-4DFD-88EE-2F88940F45E8}" type="VALUE">
                      <a:rPr lang="en-US" sz="2400" baseline="0"/>
                      <a:pPr>
                        <a:defRPr>
                          <a:solidFill>
                            <a:schemeClr val="accent1"/>
                          </a:solidFill>
                        </a:defRPr>
                      </a:pPr>
                      <a:t>[VALUE]</a:t>
                    </a:fld>
                    <a:endParaRPr lang="en-US" baseline="0"/>
                  </a:p>
                </c:rich>
              </c:tx>
              <c:spPr>
                <a:xfrm>
                  <a:off x="5934075" y="3943349"/>
                  <a:ext cx="2720650" cy="808305"/>
                </a:xfrm>
                <a:solidFill>
                  <a:sysClr val="window" lastClr="FFFFFF">
                    <a:alpha val="90000"/>
                  </a:sysClr>
                </a:solidFill>
                <a:ln w="12700" cap="flat" cmpd="sng" algn="ctr">
                  <a:solidFill>
                    <a:srgbClr val="5B9BD5"/>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45157"/>
                        <a:gd name="adj2" fmla="val -104049"/>
                      </a:avLst>
                    </a:prstGeom>
                    <a:solidFill>
                      <a:schemeClr val="lt1">
                        <a:alpha val="90000"/>
                      </a:schemeClr>
                    </a:solidFill>
                    <a:ln w="12700" cap="flat" cmpd="sng" algn="ctr">
                      <a:solidFill>
                        <a:schemeClr val="accent1"/>
                      </a:solidFill>
                      <a:round/>
                    </a:ln>
                  </c15:spPr>
                  <c15:layout>
                    <c:manualLayout>
                      <c:w val="0.31161380939449235"/>
                      <c:h val="0.16408662697187443"/>
                    </c:manualLayout>
                  </c15:layout>
                  <c15:dlblFieldTable/>
                  <c15:showDataLabelsRange val="0"/>
                </c:ext>
                <c:ext xmlns:c16="http://schemas.microsoft.com/office/drawing/2014/chart" uri="{C3380CC4-5D6E-409C-BE32-E72D297353CC}">
                  <c16:uniqueId val="{00000005-FFCC-48B1-A8AB-1251AEBFAC38}"/>
                </c:ext>
              </c:extLst>
            </c:dLbl>
            <c:dLbl>
              <c:idx val="3"/>
              <c:layout>
                <c:manualLayout>
                  <c:x val="-5.7863282096943915E-3"/>
                  <c:y val="-2.3734456983808851E-2"/>
                </c:manualLayout>
              </c:layout>
              <c:tx>
                <c:rich>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fld id="{0FEC9B72-3FDA-4392-937A-20FBAA2F3BED}" type="CATEGORYNAME">
                      <a:rPr lang="en-US" sz="2400"/>
                      <a:pPr>
                        <a:defRPr>
                          <a:solidFill>
                            <a:schemeClr val="accent1"/>
                          </a:solidFill>
                        </a:defRPr>
                      </a:pPr>
                      <a:t>[CATEGORY NAME]</a:t>
                    </a:fld>
                    <a:r>
                      <a:rPr lang="en-US" sz="2400" baseline="0"/>
                      <a:t>, </a:t>
                    </a:r>
                    <a:fld id="{207F3283-FDCA-4972-83F8-93D529F37D14}" type="VALUE">
                      <a:rPr lang="en-US" sz="2000" baseline="0"/>
                      <a:pPr>
                        <a:defRPr>
                          <a:solidFill>
                            <a:schemeClr val="accent1"/>
                          </a:solidFill>
                        </a:defRPr>
                      </a:pPr>
                      <a:t>[VALUE]</a:t>
                    </a:fld>
                    <a:endParaRPr lang="en-US" sz="2400" baseline="0"/>
                  </a:p>
                </c:rich>
              </c:tx>
              <c:spPr>
                <a:xfrm>
                  <a:off x="171839" y="4126669"/>
                  <a:ext cx="3355468" cy="682499"/>
                </a:xfrm>
                <a:solidFill>
                  <a:sysClr val="window" lastClr="FFFFFF">
                    <a:alpha val="90000"/>
                  </a:sysClr>
                </a:solidFill>
                <a:ln w="12700" cap="flat" cmpd="sng" algn="ctr">
                  <a:solidFill>
                    <a:srgbClr val="5B9BD5"/>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40620"/>
                        <a:gd name="adj2" fmla="val -94089"/>
                      </a:avLst>
                    </a:prstGeom>
                    <a:solidFill>
                      <a:schemeClr val="lt1">
                        <a:alpha val="90000"/>
                      </a:schemeClr>
                    </a:solidFill>
                    <a:ln w="12700" cap="flat" cmpd="sng" algn="ctr">
                      <a:solidFill>
                        <a:schemeClr val="accent1"/>
                      </a:solidFill>
                      <a:round/>
                    </a:ln>
                  </c15:spPr>
                  <c15:layout>
                    <c:manualLayout>
                      <c:w val="0.38432377461089356"/>
                      <c:h val="0.13854789815933011"/>
                    </c:manualLayout>
                  </c15:layout>
                  <c15:dlblFieldTable/>
                  <c15:showDataLabelsRange val="0"/>
                </c:ext>
                <c:ext xmlns:c16="http://schemas.microsoft.com/office/drawing/2014/chart" uri="{C3380CC4-5D6E-409C-BE32-E72D297353CC}">
                  <c16:uniqueId val="{00000006-FFCC-48B1-A8AB-1251AEBFAC38}"/>
                </c:ext>
              </c:extLst>
            </c:dLbl>
            <c:dLbl>
              <c:idx val="4"/>
              <c:tx>
                <c:rich>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fld id="{8C96EA70-9ABC-49B8-9FE1-480180C652DA}" type="CATEGORYNAME">
                      <a:rPr lang="en-US" sz="2400"/>
                      <a:pPr>
                        <a:defRPr>
                          <a:solidFill>
                            <a:schemeClr val="accent1"/>
                          </a:solidFill>
                        </a:defRPr>
                      </a:pPr>
                      <a:t>[CATEGORY NAME]</a:t>
                    </a:fld>
                    <a:r>
                      <a:rPr lang="en-US" sz="1050" baseline="0"/>
                      <a:t>, </a:t>
                    </a:r>
                    <a:fld id="{9EEBE3FB-E3AE-4B02-8528-DCBDAFD0A629}" type="VALUE">
                      <a:rPr lang="en-US" sz="2000" baseline="0"/>
                      <a:pPr>
                        <a:defRPr>
                          <a:solidFill>
                            <a:schemeClr val="accent1"/>
                          </a:solidFill>
                        </a:defRPr>
                      </a:pPr>
                      <a:t>[VALUE]</a:t>
                    </a:fld>
                    <a:endParaRPr lang="en-US" sz="1050" baseline="0"/>
                  </a:p>
                </c:rich>
              </c:tx>
              <c:spPr>
                <a:xfrm>
                  <a:off x="97444" y="2722089"/>
                  <a:ext cx="2075806" cy="992912"/>
                </a:xfrm>
                <a:solidFill>
                  <a:sysClr val="window" lastClr="FFFFFF">
                    <a:alpha val="90000"/>
                  </a:sysClr>
                </a:solidFill>
                <a:ln w="12700" cap="flat" cmpd="sng" algn="ctr">
                  <a:solidFill>
                    <a:srgbClr val="5B9BD5"/>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59066"/>
                        <a:gd name="adj2" fmla="val -34775"/>
                      </a:avLst>
                    </a:prstGeom>
                    <a:solidFill>
                      <a:schemeClr val="lt1">
                        <a:alpha val="90000"/>
                      </a:schemeClr>
                    </a:solidFill>
                    <a:ln w="12700" cap="flat" cmpd="sng" algn="ctr">
                      <a:solidFill>
                        <a:schemeClr val="accent1"/>
                      </a:solidFill>
                      <a:round/>
                    </a:ln>
                  </c15:spPr>
                  <c15:layout>
                    <c:manualLayout>
                      <c:w val="0.24939264141739415"/>
                      <c:h val="0.22734332544268909"/>
                    </c:manualLayout>
                  </c15:layout>
                  <c15:dlblFieldTable/>
                  <c15:showDataLabelsRange val="0"/>
                </c:ext>
                <c:ext xmlns:c16="http://schemas.microsoft.com/office/drawing/2014/chart" uri="{C3380CC4-5D6E-409C-BE32-E72D297353CC}">
                  <c16:uniqueId val="{00000007-FFCC-48B1-A8AB-1251AEBFAC38}"/>
                </c:ext>
              </c:extLst>
            </c:dLbl>
            <c:dLbl>
              <c:idx val="5"/>
              <c:layout>
                <c:manualLayout>
                  <c:x val="-1.8295119103324174E-2"/>
                  <c:y val="2.7481992605159301E-2"/>
                </c:manualLayout>
              </c:layout>
              <c:tx>
                <c:rich>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fld id="{CA4E7868-A9B1-41AC-A8B7-4237EC21D0E2}" type="CATEGORYNAME">
                      <a:rPr lang="en-US" sz="2400"/>
                      <a:pPr>
                        <a:defRPr>
                          <a:solidFill>
                            <a:schemeClr val="accent1"/>
                          </a:solidFill>
                        </a:defRPr>
                      </a:pPr>
                      <a:t>[CATEGORY NAME]</a:t>
                    </a:fld>
                    <a:r>
                      <a:rPr lang="en-US" sz="1050" baseline="0"/>
                      <a:t>, </a:t>
                    </a:r>
                    <a:fld id="{19E8092B-7A18-46E4-B1DC-B7FA532E1266}" type="VALUE">
                      <a:rPr lang="en-US" sz="2000" baseline="0"/>
                      <a:pPr>
                        <a:defRPr>
                          <a:solidFill>
                            <a:schemeClr val="accent1"/>
                          </a:solidFill>
                        </a:defRPr>
                      </a:pPr>
                      <a:t>[VALUE]</a:t>
                    </a:fld>
                    <a:endParaRPr lang="en-US" sz="1050" baseline="0"/>
                  </a:p>
                </c:rich>
              </c:tx>
              <c:spPr>
                <a:xfrm>
                  <a:off x="433036" y="545371"/>
                  <a:ext cx="2206019" cy="693552"/>
                </a:xfrm>
                <a:solidFill>
                  <a:sysClr val="window" lastClr="FFFFFF">
                    <a:alpha val="90000"/>
                  </a:sysClr>
                </a:solidFill>
                <a:ln w="12700" cap="flat" cmpd="sng" algn="ctr">
                  <a:solidFill>
                    <a:srgbClr val="5B9BD5"/>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69927"/>
                        <a:gd name="adj2" fmla="val 52138"/>
                      </a:avLst>
                    </a:prstGeom>
                    <a:solidFill>
                      <a:schemeClr val="lt1">
                        <a:alpha val="90000"/>
                      </a:schemeClr>
                    </a:solidFill>
                    <a:ln w="12700" cap="flat" cmpd="sng" algn="ctr">
                      <a:solidFill>
                        <a:schemeClr val="accent1"/>
                      </a:solidFill>
                      <a:round/>
                    </a:ln>
                  </c15:spPr>
                  <c15:layout>
                    <c:manualLayout>
                      <c:w val="0.31812750183573424"/>
                      <c:h val="0.14079166689504263"/>
                    </c:manualLayout>
                  </c15:layout>
                  <c15:dlblFieldTable/>
                  <c15:showDataLabelsRange val="0"/>
                </c:ext>
                <c:ext xmlns:c16="http://schemas.microsoft.com/office/drawing/2014/chart" uri="{C3380CC4-5D6E-409C-BE32-E72D297353CC}">
                  <c16:uniqueId val="{00000008-FFCC-48B1-A8AB-1251AEBFAC38}"/>
                </c:ext>
              </c:extLst>
            </c:dLbl>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s>
          <c:cat>
            <c:strRef>
              <c:f>Dashboard!$A$17:$F$17</c:f>
              <c:strCache>
                <c:ptCount val="6"/>
                <c:pt idx="0">
                  <c:v>food and beverages</c:v>
                </c:pt>
                <c:pt idx="1">
                  <c:v>Manufacturing</c:v>
                </c:pt>
                <c:pt idx="2">
                  <c:v>Finance and Investment</c:v>
                </c:pt>
                <c:pt idx="3">
                  <c:v>consumer goods</c:v>
                </c:pt>
                <c:pt idx="4">
                  <c:v>Automotive distribution</c:v>
                </c:pt>
                <c:pt idx="5">
                  <c:v>basic materials</c:v>
                </c:pt>
              </c:strCache>
            </c:strRef>
          </c:cat>
          <c:val>
            <c:numRef>
              <c:f>Dashboard!$A$16:$F$16</c:f>
              <c:numCache>
                <c:formatCode>0.00%</c:formatCode>
                <c:ptCount val="6"/>
                <c:pt idx="0">
                  <c:v>6.8965517241379309E-2</c:v>
                </c:pt>
                <c:pt idx="1">
                  <c:v>0.20689655172413793</c:v>
                </c:pt>
                <c:pt idx="2">
                  <c:v>0.20689655172413793</c:v>
                </c:pt>
                <c:pt idx="3">
                  <c:v>0.13793103448275862</c:v>
                </c:pt>
                <c:pt idx="4">
                  <c:v>0.17241379310344829</c:v>
                </c:pt>
                <c:pt idx="5">
                  <c:v>0.20689655172413793</c:v>
                </c:pt>
              </c:numCache>
            </c:numRef>
          </c:val>
          <c:extLst>
            <c:ext xmlns:c16="http://schemas.microsoft.com/office/drawing/2014/chart" uri="{C3380CC4-5D6E-409C-BE32-E72D297353CC}">
              <c16:uniqueId val="{00000000-FFCC-48B1-A8AB-1251AEBFAC38}"/>
            </c:ext>
          </c:extLst>
        </c:ser>
        <c:ser>
          <c:idx val="1"/>
          <c:order val="1"/>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9-FFCC-48B1-A8AB-1251AEBFAC38}"/>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A-FFCC-48B1-A8AB-1251AEBFAC38}"/>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B-FFCC-48B1-A8AB-1251AEBFAC38}"/>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C-FFCC-48B1-A8AB-1251AEBFAC38}"/>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D-FFCC-48B1-A8AB-1251AEBFAC38}"/>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E-FFCC-48B1-A8AB-1251AEBFAC38}"/>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F-FFCC-48B1-A8AB-1251AEBFAC38}"/>
              </c:ext>
            </c:extLst>
          </c:dPt>
          <c:dPt>
            <c:idx val="7"/>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10-FFCC-48B1-A8AB-1251AEBFAC38}"/>
              </c:ext>
            </c:extLst>
          </c:dPt>
          <c:dPt>
            <c:idx val="8"/>
            <c:bubble3D val="0"/>
            <c:spPr>
              <a:solidFill>
                <a:schemeClr val="accent3">
                  <a:lumMod val="60000"/>
                  <a:alpha val="90000"/>
                </a:schemeClr>
              </a:solidFill>
              <a:ln w="19050">
                <a:solidFill>
                  <a:schemeClr val="accent3">
                    <a:lumMod val="60000"/>
                    <a:lumMod val="75000"/>
                  </a:schemeClr>
                </a:solidFill>
              </a:ln>
              <a:effectLst>
                <a:innerShdw blurRad="114300">
                  <a:schemeClr val="accent3">
                    <a:lumMod val="60000"/>
                    <a:lumMod val="75000"/>
                  </a:schemeClr>
                </a:innerShdw>
              </a:effectLst>
              <a:scene3d>
                <a:camera prst="orthographicFront"/>
                <a:lightRig rig="threePt" dir="t"/>
              </a:scene3d>
              <a:sp3d contourW="19050" prstMaterial="flat">
                <a:contourClr>
                  <a:schemeClr val="accent3">
                    <a:lumMod val="60000"/>
                    <a:lumMod val="75000"/>
                  </a:schemeClr>
                </a:contourClr>
              </a:sp3d>
            </c:spPr>
            <c:extLst>
              <c:ext xmlns:c16="http://schemas.microsoft.com/office/drawing/2014/chart" uri="{C3380CC4-5D6E-409C-BE32-E72D297353CC}">
                <c16:uniqueId val="{00000011-FFCC-48B1-A8AB-1251AEBFAC38}"/>
              </c:ext>
            </c:extLst>
          </c:dPt>
          <c:dPt>
            <c:idx val="9"/>
            <c:bubble3D val="0"/>
            <c:spPr>
              <a:solidFill>
                <a:schemeClr val="accent4">
                  <a:lumMod val="60000"/>
                  <a:alpha val="90000"/>
                </a:schemeClr>
              </a:solidFill>
              <a:ln w="19050">
                <a:solidFill>
                  <a:schemeClr val="accent4">
                    <a:lumMod val="60000"/>
                    <a:lumMod val="75000"/>
                  </a:schemeClr>
                </a:solidFill>
              </a:ln>
              <a:effectLst>
                <a:innerShdw blurRad="114300">
                  <a:schemeClr val="accent4">
                    <a:lumMod val="60000"/>
                    <a:lumMod val="75000"/>
                  </a:schemeClr>
                </a:innerShdw>
              </a:effectLst>
              <a:scene3d>
                <a:camera prst="orthographicFront"/>
                <a:lightRig rig="threePt" dir="t"/>
              </a:scene3d>
              <a:sp3d contourW="19050" prstMaterial="flat">
                <a:contourClr>
                  <a:schemeClr val="accent4">
                    <a:lumMod val="60000"/>
                    <a:lumMod val="75000"/>
                  </a:schemeClr>
                </a:contourClr>
              </a:sp3d>
            </c:spPr>
            <c:extLst>
              <c:ext xmlns:c16="http://schemas.microsoft.com/office/drawing/2014/chart" uri="{C3380CC4-5D6E-409C-BE32-E72D297353CC}">
                <c16:uniqueId val="{00000012-FFCC-48B1-A8AB-1251AEBFAC38}"/>
              </c:ext>
            </c:extLst>
          </c:dPt>
          <c:dLbls>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9-FFCC-48B1-A8AB-1251AEBFAC38}"/>
                </c:ext>
              </c:extLst>
            </c:dLbl>
            <c:dLbl>
              <c:idx val="1"/>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A-FFCC-48B1-A8AB-1251AEBFAC38}"/>
                </c:ext>
              </c:extLst>
            </c:dLbl>
            <c:dLbl>
              <c:idx val="2"/>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B-FFCC-48B1-A8AB-1251AEBFAC38}"/>
                </c:ext>
              </c:extLst>
            </c:dLbl>
            <c:dLbl>
              <c:idx val="3"/>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C-FFCC-48B1-A8AB-1251AEBFAC38}"/>
                </c:ext>
              </c:extLst>
            </c:dLbl>
            <c:dLbl>
              <c:idx val="4"/>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D-FFCC-48B1-A8AB-1251AEBFAC38}"/>
                </c:ext>
              </c:extLst>
            </c:dLbl>
            <c:dLbl>
              <c:idx val="5"/>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E-FFCC-48B1-A8AB-1251AEBFAC38}"/>
                </c:ext>
              </c:extLst>
            </c:dLbl>
            <c:dLbl>
              <c:idx val="6"/>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schemeClr>
                      </a:solidFill>
                      <a:effectLst/>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F-FFCC-48B1-A8AB-1251AEBFAC38}"/>
                </c:ext>
              </c:extLst>
            </c:dLbl>
            <c:dLbl>
              <c:idx val="7"/>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60000"/>
                        </a:schemeClr>
                      </a:solidFill>
                      <a:effectLst/>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10-FFCC-48B1-A8AB-1251AEBFAC38}"/>
                </c:ext>
              </c:extLst>
            </c:dLbl>
            <c:dLbl>
              <c:idx val="8"/>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60000"/>
                        </a:schemeClr>
                      </a:solidFill>
                      <a:effectLst/>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11-FFCC-48B1-A8AB-1251AEBFAC38}"/>
                </c:ext>
              </c:extLst>
            </c:dLbl>
            <c:dLbl>
              <c:idx val="9"/>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60000"/>
                        </a:schemeClr>
                      </a:solidFill>
                      <a:effectLst/>
                      <a:latin typeface="+mn-lt"/>
                      <a:ea typeface="+mn-ea"/>
                      <a:cs typeface="+mn-cs"/>
                    </a:defRPr>
                  </a:pPr>
                  <a:endParaRPr lang="fr-F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12-FFCC-48B1-A8AB-1251AEBFAC38}"/>
                </c:ext>
              </c:extLst>
            </c:dLbl>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s>
          <c:cat>
            <c:strRef>
              <c:f>Dashboard!$A$17:$F$17</c:f>
              <c:strCache>
                <c:ptCount val="6"/>
                <c:pt idx="0">
                  <c:v>food and beverages</c:v>
                </c:pt>
                <c:pt idx="1">
                  <c:v>Manufacturing</c:v>
                </c:pt>
                <c:pt idx="2">
                  <c:v>Finance and Investment</c:v>
                </c:pt>
                <c:pt idx="3">
                  <c:v>consumer goods</c:v>
                </c:pt>
                <c:pt idx="4">
                  <c:v>Automotive distribution</c:v>
                </c:pt>
                <c:pt idx="5">
                  <c:v>basic materials</c:v>
                </c:pt>
              </c:strCache>
            </c:strRef>
          </c:cat>
          <c:val>
            <c:numRef>
              <c:f>Dashboard!$A$13:$J$13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FFCC-48B1-A8AB-1251AEBFAC38}"/>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a:t>
            </a:r>
            <a:r>
              <a:rPr lang="en-US" baseline="0"/>
              <a:t> portfolio value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spPr>
            <a:ln w="28575" cap="rnd">
              <a:solidFill>
                <a:schemeClr val="tx1">
                  <a:lumMod val="95000"/>
                  <a:lumOff val="5000"/>
                </a:schemeClr>
              </a:solidFill>
              <a:round/>
            </a:ln>
            <a:effectLst>
              <a:outerShdw dist="25400" dir="2700000" algn="tl" rotWithShape="0">
                <a:schemeClr val="accent1"/>
              </a:outerShdw>
            </a:effectLst>
          </c:spPr>
          <c:marker>
            <c:symbol val="circle"/>
            <c:size val="6"/>
            <c:spPr>
              <a:solidFill>
                <a:schemeClr val="accent2">
                  <a:lumMod val="60000"/>
                  <a:lumOff val="40000"/>
                </a:schemeClr>
              </a:solidFill>
              <a:ln w="22225">
                <a:solidFill>
                  <a:schemeClr val="tx1">
                    <a:lumMod val="95000"/>
                    <a:lumOff val="5000"/>
                  </a:schemeClr>
                </a:solidFill>
                <a:round/>
              </a:ln>
              <a:effectLst/>
            </c:spPr>
          </c:marker>
          <c:dLbls>
            <c:dLbl>
              <c:idx val="1"/>
              <c:layout>
                <c:manualLayout>
                  <c:x val="-5.394788651318342E-2"/>
                  <c:y val="4.47387037885115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9A2-4187-BAF9-B593B9F9BFE3}"/>
                </c:ext>
              </c:extLst>
            </c:dLbl>
            <c:dLbl>
              <c:idx val="2"/>
              <c:layout>
                <c:manualLayout>
                  <c:x val="-3.9182260786528582E-2"/>
                  <c:y val="-5.42726662979832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9A2-4187-BAF9-B593B9F9BFE3}"/>
                </c:ext>
              </c:extLst>
            </c:dLbl>
            <c:dLbl>
              <c:idx val="4"/>
              <c:layout>
                <c:manualLayout>
                  <c:x val="-4.2462336857596532E-2"/>
                  <c:y val="4.24526057753616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9A2-4187-BAF9-B593B9F9BFE3}"/>
                </c:ext>
              </c:extLst>
            </c:dLbl>
            <c:dLbl>
              <c:idx val="5"/>
              <c:layout>
                <c:manualLayout>
                  <c:x val="-2.4416635059873834E-2"/>
                  <c:y val="4.47387037885113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9A2-4187-BAF9-B593B9F9BFE3}"/>
                </c:ext>
              </c:extLst>
            </c:dLbl>
            <c:dLbl>
              <c:idx val="6"/>
              <c:layout>
                <c:manualLayout>
                  <c:x val="-5.5588511593922751E-2"/>
                  <c:y val="-4.46909208057418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69A2-4187-BAF9-B593B9F9BFE3}"/>
                </c:ext>
              </c:extLst>
            </c:dLbl>
            <c:dLbl>
              <c:idx val="8"/>
              <c:layout>
                <c:manualLayout>
                  <c:x val="-3.7541635705789278E-2"/>
                  <c:y val="3.83508734603505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9A2-4187-BAF9-B593B9F9BFE3}"/>
                </c:ext>
              </c:extLst>
            </c:dLbl>
            <c:dLbl>
              <c:idx val="9"/>
              <c:layout>
                <c:manualLayout>
                  <c:x val="-6.3697591717401169E-3"/>
                  <c:y val="2.23812976399480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9A2-4187-BAF9-B593B9F9BFE3}"/>
                </c:ext>
              </c:extLst>
            </c:dLbl>
            <c:dLbl>
              <c:idx val="11"/>
              <c:layout>
                <c:manualLayout>
                  <c:x val="-2.6057260140613315E-2"/>
                  <c:y val="-4.46909208057418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9A2-4187-BAF9-B593B9F9BFE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trendline>
            <c:spPr>
              <a:ln w="28575" cap="rnd">
                <a:solidFill>
                  <a:schemeClr val="lt1">
                    <a:alpha val="50000"/>
                  </a:schemeClr>
                </a:solidFill>
                <a:round/>
              </a:ln>
              <a:effectLst/>
            </c:spPr>
            <c:trendlineType val="linear"/>
            <c:dispRSqr val="0"/>
            <c:dispEq val="0"/>
          </c:trendline>
          <c:yVal>
            <c:numRef>
              <c:f>'Portfolio Daily Return'!$G$3:$G$14</c:f>
              <c:numCache>
                <c:formatCode>0.000</c:formatCode>
                <c:ptCount val="12"/>
                <c:pt idx="0">
                  <c:v>277.48</c:v>
                </c:pt>
                <c:pt idx="1">
                  <c:v>275.78000000000003</c:v>
                </c:pt>
                <c:pt idx="2">
                  <c:v>275.40000000000003</c:v>
                </c:pt>
                <c:pt idx="3">
                  <c:v>275.73</c:v>
                </c:pt>
                <c:pt idx="4">
                  <c:v>275.57000000000005</c:v>
                </c:pt>
                <c:pt idx="5">
                  <c:v>276.04000000000002</c:v>
                </c:pt>
                <c:pt idx="6">
                  <c:v>277.02000000000004</c:v>
                </c:pt>
                <c:pt idx="7">
                  <c:v>277.51000000000005</c:v>
                </c:pt>
                <c:pt idx="8">
                  <c:v>276.36</c:v>
                </c:pt>
                <c:pt idx="9">
                  <c:v>276.23</c:v>
                </c:pt>
                <c:pt idx="10">
                  <c:v>278.34000000000003</c:v>
                </c:pt>
                <c:pt idx="11">
                  <c:v>277.82000000000005</c:v>
                </c:pt>
              </c:numCache>
            </c:numRef>
          </c:yVal>
          <c:smooth val="0"/>
          <c:extLst>
            <c:ext xmlns:c16="http://schemas.microsoft.com/office/drawing/2014/chart" uri="{C3380CC4-5D6E-409C-BE32-E72D297353CC}">
              <c16:uniqueId val="{00000000-69A2-4187-BAF9-B593B9F9BFE3}"/>
            </c:ext>
          </c:extLst>
        </c:ser>
        <c:dLbls>
          <c:dLblPos val="t"/>
          <c:showLegendKey val="0"/>
          <c:showVal val="1"/>
          <c:showCatName val="0"/>
          <c:showSerName val="0"/>
          <c:showPercent val="0"/>
          <c:showBubbleSize val="0"/>
        </c:dLbls>
        <c:axId val="1605041327"/>
        <c:axId val="1605042575"/>
      </c:scatterChart>
      <c:valAx>
        <c:axId val="1605041327"/>
        <c:scaling>
          <c:orientation val="minMax"/>
        </c:scaling>
        <c:delete val="1"/>
        <c:axPos val="b"/>
        <c:majorGridlines>
          <c:spPr>
            <a:ln w="9525" cap="flat" cmpd="sng" algn="ctr">
              <a:solidFill>
                <a:schemeClr val="lt1">
                  <a:alpha val="25000"/>
                </a:schemeClr>
              </a:solidFill>
              <a:round/>
            </a:ln>
            <a:effectLst/>
          </c:spPr>
        </c:majorGridlines>
        <c:majorTickMark val="none"/>
        <c:minorTickMark val="none"/>
        <c:tickLblPos val="nextTo"/>
        <c:crossAx val="1605042575"/>
        <c:crosses val="autoZero"/>
        <c:crossBetween val="midCat"/>
      </c:valAx>
      <c:valAx>
        <c:axId val="1605042575"/>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Value in Dinars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fr-FR"/>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fr-FR"/>
          </a:p>
        </c:txPr>
        <c:crossAx val="16050413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'Portfolio Daily Return'!$H$2</c:f>
              <c:strCache>
                <c:ptCount val="1"/>
                <c:pt idx="0">
                  <c:v>Daily Return</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'Portfolio Daily Return'!$A$3:$A$14</c:f>
              <c:numCache>
                <c:formatCode>d/m/yyyy</c:formatCode>
                <c:ptCount val="12"/>
                <c:pt idx="0">
                  <c:v>45639</c:v>
                </c:pt>
                <c:pt idx="1">
                  <c:v>45642</c:v>
                </c:pt>
                <c:pt idx="2">
                  <c:v>45644</c:v>
                </c:pt>
                <c:pt idx="3">
                  <c:v>45645</c:v>
                </c:pt>
                <c:pt idx="4">
                  <c:v>45646</c:v>
                </c:pt>
                <c:pt idx="5">
                  <c:v>45649</c:v>
                </c:pt>
                <c:pt idx="6">
                  <c:v>45650</c:v>
                </c:pt>
                <c:pt idx="7">
                  <c:v>45651</c:v>
                </c:pt>
                <c:pt idx="8">
                  <c:v>45652</c:v>
                </c:pt>
                <c:pt idx="9">
                  <c:v>45653</c:v>
                </c:pt>
                <c:pt idx="10">
                  <c:v>45656</c:v>
                </c:pt>
                <c:pt idx="11" formatCode="m/d/yyyy">
                  <c:v>45657</c:v>
                </c:pt>
              </c:numCache>
            </c:numRef>
          </c:cat>
          <c:val>
            <c:numRef>
              <c:f>'Portfolio Daily Return'!$H$3:$H$14</c:f>
              <c:numCache>
                <c:formatCode>00.00%</c:formatCode>
                <c:ptCount val="12"/>
                <c:pt idx="0">
                  <c:v>0</c:v>
                </c:pt>
                <c:pt idx="1">
                  <c:v>-6.1265676805535123E-3</c:v>
                </c:pt>
                <c:pt idx="2">
                  <c:v>-1.3779099282036238E-3</c:v>
                </c:pt>
                <c:pt idx="3">
                  <c:v>1.1982570806099639E-3</c:v>
                </c:pt>
                <c:pt idx="4">
                  <c:v>-5.8027780800046474E-4</c:v>
                </c:pt>
                <c:pt idx="5">
                  <c:v>1.7055557571577834E-3</c:v>
                </c:pt>
                <c:pt idx="6">
                  <c:v>3.5502101144762287E-3</c:v>
                </c:pt>
                <c:pt idx="7">
                  <c:v>1.7688253555700275E-3</c:v>
                </c:pt>
                <c:pt idx="8">
                  <c:v>-4.143994810997924E-3</c:v>
                </c:pt>
                <c:pt idx="9">
                  <c:v>-4.7040092632796154E-4</c:v>
                </c:pt>
                <c:pt idx="10">
                  <c:v>7.6385620678420642E-3</c:v>
                </c:pt>
                <c:pt idx="11" formatCode="0.00%">
                  <c:v>-1.8682187252999272E-3</c:v>
                </c:pt>
              </c:numCache>
            </c:numRef>
          </c:val>
          <c:smooth val="0"/>
          <c:extLst>
            <c:ext xmlns:c16="http://schemas.microsoft.com/office/drawing/2014/chart" uri="{C3380CC4-5D6E-409C-BE32-E72D297353CC}">
              <c16:uniqueId val="{00000000-ABAB-4151-9CF4-D771B8667C81}"/>
            </c:ext>
          </c:extLst>
        </c:ser>
        <c:dLbls>
          <c:showLegendKey val="0"/>
          <c:showVal val="0"/>
          <c:showCatName val="0"/>
          <c:showSerName val="0"/>
          <c:showPercent val="0"/>
          <c:showBubbleSize val="0"/>
        </c:dLbls>
        <c:smooth val="0"/>
        <c:axId val="809085488"/>
        <c:axId val="809083328"/>
      </c:lineChart>
      <c:dateAx>
        <c:axId val="809085488"/>
        <c:scaling>
          <c:orientation val="minMax"/>
        </c:scaling>
        <c:delete val="0"/>
        <c:axPos val="b"/>
        <c:numFmt formatCode="d/m/yyyy"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09083328"/>
        <c:crosses val="autoZero"/>
        <c:auto val="1"/>
        <c:lblOffset val="100"/>
        <c:baseTimeUnit val="days"/>
      </c:dateAx>
      <c:valAx>
        <c:axId val="809083328"/>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09085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'Portfolio Daily Return'!$J$2</c:f>
              <c:strCache>
                <c:ptCount val="1"/>
                <c:pt idx="0">
                  <c:v>Cash Flows</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numRef>
              <c:f>'Portfolio Daily Return'!$A$3:$A$14</c:f>
              <c:numCache>
                <c:formatCode>d/m/yyyy</c:formatCode>
                <c:ptCount val="12"/>
                <c:pt idx="0">
                  <c:v>45639</c:v>
                </c:pt>
                <c:pt idx="1">
                  <c:v>45642</c:v>
                </c:pt>
                <c:pt idx="2">
                  <c:v>45644</c:v>
                </c:pt>
                <c:pt idx="3">
                  <c:v>45645</c:v>
                </c:pt>
                <c:pt idx="4">
                  <c:v>45646</c:v>
                </c:pt>
                <c:pt idx="5">
                  <c:v>45649</c:v>
                </c:pt>
                <c:pt idx="6">
                  <c:v>45650</c:v>
                </c:pt>
                <c:pt idx="7">
                  <c:v>45651</c:v>
                </c:pt>
                <c:pt idx="8">
                  <c:v>45652</c:v>
                </c:pt>
                <c:pt idx="9">
                  <c:v>45653</c:v>
                </c:pt>
                <c:pt idx="10">
                  <c:v>45656</c:v>
                </c:pt>
                <c:pt idx="11" formatCode="m/d/yyyy">
                  <c:v>45657</c:v>
                </c:pt>
              </c:numCache>
            </c:numRef>
          </c:cat>
          <c:val>
            <c:numRef>
              <c:f>'Portfolio Daily Return'!$J$3:$J$14</c:f>
              <c:numCache>
                <c:formatCode>0.000</c:formatCode>
                <c:ptCount val="12"/>
                <c:pt idx="0">
                  <c:v>0</c:v>
                </c:pt>
                <c:pt idx="1">
                  <c:v>-1.6999999999999886</c:v>
                </c:pt>
                <c:pt idx="2">
                  <c:v>-0.37999999999999545</c:v>
                </c:pt>
                <c:pt idx="3">
                  <c:v>0.32999999999998408</c:v>
                </c:pt>
                <c:pt idx="4">
                  <c:v>-0.15999999999996817</c:v>
                </c:pt>
                <c:pt idx="5">
                  <c:v>0.46999999999997044</c:v>
                </c:pt>
                <c:pt idx="6">
                  <c:v>0.98000000000001819</c:v>
                </c:pt>
                <c:pt idx="7">
                  <c:v>0.49000000000000909</c:v>
                </c:pt>
                <c:pt idx="8">
                  <c:v>-1.1500000000000341</c:v>
                </c:pt>
                <c:pt idx="9">
                  <c:v>-0.12999999999999545</c:v>
                </c:pt>
                <c:pt idx="10">
                  <c:v>2.1100000000000136</c:v>
                </c:pt>
                <c:pt idx="11">
                  <c:v>-0.51999999999998181</c:v>
                </c:pt>
              </c:numCache>
            </c:numRef>
          </c:val>
          <c:smooth val="0"/>
          <c:extLst>
            <c:ext xmlns:c16="http://schemas.microsoft.com/office/drawing/2014/chart" uri="{C3380CC4-5D6E-409C-BE32-E72D297353CC}">
              <c16:uniqueId val="{00000000-96AA-439B-B129-D10F88B7DAFD}"/>
            </c:ext>
          </c:extLst>
        </c:ser>
        <c:dLbls>
          <c:showLegendKey val="0"/>
          <c:showVal val="0"/>
          <c:showCatName val="0"/>
          <c:showSerName val="0"/>
          <c:showPercent val="0"/>
          <c:showBubbleSize val="0"/>
        </c:dLbls>
        <c:smooth val="0"/>
        <c:axId val="897074392"/>
        <c:axId val="897075832"/>
      </c:lineChart>
      <c:dateAx>
        <c:axId val="897074392"/>
        <c:scaling>
          <c:orientation val="minMax"/>
        </c:scaling>
        <c:delete val="0"/>
        <c:axPos val="b"/>
        <c:numFmt formatCode="d/m/yyyy"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97075832"/>
        <c:crosses val="autoZero"/>
        <c:auto val="1"/>
        <c:lblOffset val="100"/>
        <c:baseTimeUnit val="days"/>
      </c:dateAx>
      <c:valAx>
        <c:axId val="89707583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97074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layout>
        <c:manualLayout>
          <c:xMode val="edge"/>
          <c:yMode val="edge"/>
          <c:x val="0.33948357806625518"/>
          <c:y val="2.5608194622279128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fr-FR"/>
        </a:p>
      </c:txPr>
    </c:title>
    <c:autoTitleDeleted val="0"/>
    <c:plotArea>
      <c:layout/>
      <c:areaChart>
        <c:grouping val="stacked"/>
        <c:varyColors val="0"/>
        <c:ser>
          <c:idx val="0"/>
          <c:order val="0"/>
          <c:tx>
            <c:strRef>
              <c:f>'Portfolio Daily Return'!$G$2</c:f>
              <c:strCache>
                <c:ptCount val="1"/>
                <c:pt idx="0">
                  <c:v>Portfolio Value </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1"/>
              </a:solidFill>
              <a:round/>
            </a:ln>
            <a:effectLst/>
          </c:spPr>
          <c:cat>
            <c:numRef>
              <c:f>'Portfolio Daily Return'!$A$3:$A$14</c:f>
              <c:numCache>
                <c:formatCode>d/m/yyyy</c:formatCode>
                <c:ptCount val="12"/>
                <c:pt idx="0">
                  <c:v>45639</c:v>
                </c:pt>
                <c:pt idx="1">
                  <c:v>45642</c:v>
                </c:pt>
                <c:pt idx="2">
                  <c:v>45644</c:v>
                </c:pt>
                <c:pt idx="3">
                  <c:v>45645</c:v>
                </c:pt>
                <c:pt idx="4">
                  <c:v>45646</c:v>
                </c:pt>
                <c:pt idx="5">
                  <c:v>45649</c:v>
                </c:pt>
                <c:pt idx="6">
                  <c:v>45650</c:v>
                </c:pt>
                <c:pt idx="7">
                  <c:v>45651</c:v>
                </c:pt>
                <c:pt idx="8">
                  <c:v>45652</c:v>
                </c:pt>
                <c:pt idx="9">
                  <c:v>45653</c:v>
                </c:pt>
                <c:pt idx="10">
                  <c:v>45656</c:v>
                </c:pt>
                <c:pt idx="11" formatCode="m/d/yyyy">
                  <c:v>45657</c:v>
                </c:pt>
              </c:numCache>
            </c:numRef>
          </c:cat>
          <c:val>
            <c:numRef>
              <c:f>'Portfolio Daily Return'!$G$3:$G$14</c:f>
              <c:numCache>
                <c:formatCode>0.000</c:formatCode>
                <c:ptCount val="12"/>
                <c:pt idx="0">
                  <c:v>277.48</c:v>
                </c:pt>
                <c:pt idx="1">
                  <c:v>275.78000000000003</c:v>
                </c:pt>
                <c:pt idx="2">
                  <c:v>275.40000000000003</c:v>
                </c:pt>
                <c:pt idx="3">
                  <c:v>275.73</c:v>
                </c:pt>
                <c:pt idx="4">
                  <c:v>275.57000000000005</c:v>
                </c:pt>
                <c:pt idx="5">
                  <c:v>276.04000000000002</c:v>
                </c:pt>
                <c:pt idx="6">
                  <c:v>277.02000000000004</c:v>
                </c:pt>
                <c:pt idx="7">
                  <c:v>277.51000000000005</c:v>
                </c:pt>
                <c:pt idx="8">
                  <c:v>276.36</c:v>
                </c:pt>
                <c:pt idx="9">
                  <c:v>276.23</c:v>
                </c:pt>
                <c:pt idx="10">
                  <c:v>278.34000000000003</c:v>
                </c:pt>
                <c:pt idx="11">
                  <c:v>277.82000000000005</c:v>
                </c:pt>
              </c:numCache>
            </c:numRef>
          </c:val>
          <c:extLst>
            <c:ext xmlns:c16="http://schemas.microsoft.com/office/drawing/2014/chart" uri="{C3380CC4-5D6E-409C-BE32-E72D297353CC}">
              <c16:uniqueId val="{00000000-C500-4446-8295-F83F7814ECBC}"/>
            </c:ext>
          </c:extLst>
        </c:ser>
        <c:dLbls>
          <c:showLegendKey val="0"/>
          <c:showVal val="0"/>
          <c:showCatName val="0"/>
          <c:showSerName val="0"/>
          <c:showPercent val="0"/>
          <c:showBubbleSize val="0"/>
        </c:dLbls>
        <c:axId val="928490800"/>
        <c:axId val="928491520"/>
      </c:areaChart>
      <c:dateAx>
        <c:axId val="928490800"/>
        <c:scaling>
          <c:orientation val="minMax"/>
        </c:scaling>
        <c:delete val="0"/>
        <c:axPos val="b"/>
        <c:numFmt formatCode="d/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928491520"/>
        <c:crosses val="autoZero"/>
        <c:auto val="1"/>
        <c:lblOffset val="100"/>
        <c:baseTimeUnit val="days"/>
      </c:dateAx>
      <c:valAx>
        <c:axId val="92849152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9284908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zero"/>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lotArea>
      <c:layout/>
      <c:lineChart>
        <c:grouping val="stacked"/>
        <c:varyColors val="0"/>
        <c:ser>
          <c:idx val="0"/>
          <c:order val="0"/>
          <c:tx>
            <c:strRef>
              <c:f>'Portfolio Daily Return'!$B$2</c:f>
              <c:strCache>
                <c:ptCount val="1"/>
                <c:pt idx="0">
                  <c:v>Stocks Value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'Portfolio Daily Return'!$A$3:$A$14</c:f>
              <c:numCache>
                <c:formatCode>d/m/yyyy</c:formatCode>
                <c:ptCount val="12"/>
                <c:pt idx="0">
                  <c:v>45639</c:v>
                </c:pt>
                <c:pt idx="1">
                  <c:v>45642</c:v>
                </c:pt>
                <c:pt idx="2">
                  <c:v>45644</c:v>
                </c:pt>
                <c:pt idx="3">
                  <c:v>45645</c:v>
                </c:pt>
                <c:pt idx="4">
                  <c:v>45646</c:v>
                </c:pt>
                <c:pt idx="5">
                  <c:v>45649</c:v>
                </c:pt>
                <c:pt idx="6">
                  <c:v>45650</c:v>
                </c:pt>
                <c:pt idx="7">
                  <c:v>45651</c:v>
                </c:pt>
                <c:pt idx="8">
                  <c:v>45652</c:v>
                </c:pt>
                <c:pt idx="9">
                  <c:v>45653</c:v>
                </c:pt>
                <c:pt idx="10">
                  <c:v>45656</c:v>
                </c:pt>
                <c:pt idx="11" formatCode="m/d/yyyy">
                  <c:v>45657</c:v>
                </c:pt>
              </c:numCache>
            </c:numRef>
          </c:cat>
          <c:val>
            <c:numRef>
              <c:f>'Portfolio Daily Return'!$B$3:$B$14</c:f>
              <c:numCache>
                <c:formatCode>0.000</c:formatCode>
                <c:ptCount val="12"/>
                <c:pt idx="0">
                  <c:v>269.57</c:v>
                </c:pt>
                <c:pt idx="1">
                  <c:v>267.87</c:v>
                </c:pt>
                <c:pt idx="2">
                  <c:v>267.49</c:v>
                </c:pt>
                <c:pt idx="3">
                  <c:v>267.82</c:v>
                </c:pt>
                <c:pt idx="4">
                  <c:v>267.66000000000003</c:v>
                </c:pt>
                <c:pt idx="5">
                  <c:v>268.13</c:v>
                </c:pt>
                <c:pt idx="6">
                  <c:v>269.11</c:v>
                </c:pt>
                <c:pt idx="7">
                  <c:v>269.60000000000002</c:v>
                </c:pt>
                <c:pt idx="8">
                  <c:v>268.45</c:v>
                </c:pt>
                <c:pt idx="9">
                  <c:v>268.32</c:v>
                </c:pt>
                <c:pt idx="10">
                  <c:v>270.43</c:v>
                </c:pt>
                <c:pt idx="11">
                  <c:v>269.91000000000003</c:v>
                </c:pt>
              </c:numCache>
            </c:numRef>
          </c:val>
          <c:smooth val="0"/>
          <c:extLst>
            <c:ext xmlns:c16="http://schemas.microsoft.com/office/drawing/2014/chart" uri="{C3380CC4-5D6E-409C-BE32-E72D297353CC}">
              <c16:uniqueId val="{00000000-23AE-45A9-B59A-A496CBAA2AE5}"/>
            </c:ext>
          </c:extLst>
        </c:ser>
        <c:dLbls>
          <c:showLegendKey val="0"/>
          <c:showVal val="0"/>
          <c:showCatName val="0"/>
          <c:showSerName val="0"/>
          <c:showPercent val="0"/>
          <c:showBubbleSize val="0"/>
        </c:dLbls>
        <c:smooth val="0"/>
        <c:axId val="928519600"/>
        <c:axId val="928518880"/>
      </c:lineChart>
      <c:dateAx>
        <c:axId val="928519600"/>
        <c:scaling>
          <c:orientation val="minMax"/>
        </c:scaling>
        <c:delete val="0"/>
        <c:axPos val="b"/>
        <c:numFmt formatCode="d/m/yyyy"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28518880"/>
        <c:crosses val="autoZero"/>
        <c:auto val="1"/>
        <c:lblOffset val="100"/>
        <c:baseTimeUnit val="days"/>
      </c:dateAx>
      <c:valAx>
        <c:axId val="92851888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28519600"/>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fr-FR"/>
        </a:p>
      </c:txPr>
    </c:title>
    <c:autoTitleDeleted val="0"/>
    <c:plotArea>
      <c:layout/>
      <c:barChart>
        <c:barDir val="col"/>
        <c:grouping val="clustered"/>
        <c:varyColors val="0"/>
        <c:ser>
          <c:idx val="0"/>
          <c:order val="0"/>
          <c:tx>
            <c:strRef>
              <c:f>'Portfolio Daily Return'!$I$2</c:f>
              <c:strCache>
                <c:ptCount val="1"/>
                <c:pt idx="0">
                  <c:v>Cumulative Cash Flows</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'Portfolio Daily Return'!$A$3:$A$14</c:f>
              <c:numCache>
                <c:formatCode>d/m/yyyy</c:formatCode>
                <c:ptCount val="12"/>
                <c:pt idx="0">
                  <c:v>45639</c:v>
                </c:pt>
                <c:pt idx="1">
                  <c:v>45642</c:v>
                </c:pt>
                <c:pt idx="2">
                  <c:v>45644</c:v>
                </c:pt>
                <c:pt idx="3">
                  <c:v>45645</c:v>
                </c:pt>
                <c:pt idx="4">
                  <c:v>45646</c:v>
                </c:pt>
                <c:pt idx="5">
                  <c:v>45649</c:v>
                </c:pt>
                <c:pt idx="6">
                  <c:v>45650</c:v>
                </c:pt>
                <c:pt idx="7">
                  <c:v>45651</c:v>
                </c:pt>
                <c:pt idx="8">
                  <c:v>45652</c:v>
                </c:pt>
                <c:pt idx="9">
                  <c:v>45653</c:v>
                </c:pt>
                <c:pt idx="10">
                  <c:v>45656</c:v>
                </c:pt>
                <c:pt idx="11" formatCode="m/d/yyyy">
                  <c:v>45657</c:v>
                </c:pt>
              </c:numCache>
            </c:numRef>
          </c:cat>
          <c:val>
            <c:numRef>
              <c:f>'Portfolio Daily Return'!$I$3:$I$14</c:f>
              <c:numCache>
                <c:formatCode>0.000</c:formatCode>
                <c:ptCount val="12"/>
                <c:pt idx="0">
                  <c:v>0</c:v>
                </c:pt>
                <c:pt idx="1">
                  <c:v>-1.6999999999999886</c:v>
                </c:pt>
                <c:pt idx="2">
                  <c:v>-2.0799999999999841</c:v>
                </c:pt>
                <c:pt idx="3">
                  <c:v>-1.75</c:v>
                </c:pt>
                <c:pt idx="4">
                  <c:v>-1.9099999999999682</c:v>
                </c:pt>
                <c:pt idx="5">
                  <c:v>-1.4399999999999977</c:v>
                </c:pt>
                <c:pt idx="6">
                  <c:v>-0.45999999999997954</c:v>
                </c:pt>
                <c:pt idx="7">
                  <c:v>3.0000000000029559E-2</c:v>
                </c:pt>
                <c:pt idx="8">
                  <c:v>-1.1200000000000045</c:v>
                </c:pt>
                <c:pt idx="9">
                  <c:v>-1.25</c:v>
                </c:pt>
                <c:pt idx="10">
                  <c:v>0.86000000000001364</c:v>
                </c:pt>
                <c:pt idx="11">
                  <c:v>0.34000000000003183</c:v>
                </c:pt>
              </c:numCache>
            </c:numRef>
          </c:val>
          <c:extLst>
            <c:ext xmlns:c16="http://schemas.microsoft.com/office/drawing/2014/chart" uri="{C3380CC4-5D6E-409C-BE32-E72D297353CC}">
              <c16:uniqueId val="{00000000-7EAE-4E10-BC90-16DBA362186A}"/>
            </c:ext>
          </c:extLst>
        </c:ser>
        <c:dLbls>
          <c:showLegendKey val="0"/>
          <c:showVal val="1"/>
          <c:showCatName val="0"/>
          <c:showSerName val="0"/>
          <c:showPercent val="0"/>
          <c:showBubbleSize val="0"/>
        </c:dLbls>
        <c:gapWidth val="150"/>
        <c:axId val="698576832"/>
        <c:axId val="698573232"/>
      </c:barChart>
      <c:dateAx>
        <c:axId val="698576832"/>
        <c:scaling>
          <c:orientation val="minMax"/>
        </c:scaling>
        <c:delete val="0"/>
        <c:axPos val="b"/>
        <c:numFmt formatCode="d/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698573232"/>
        <c:crosses val="autoZero"/>
        <c:auto val="1"/>
        <c:lblOffset val="100"/>
        <c:baseTimeUnit val="days"/>
      </c:dateAx>
      <c:valAx>
        <c:axId val="69857323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698576832"/>
        <c:crosses val="autoZero"/>
        <c:crossBetween val="between"/>
      </c:valAx>
      <c:spPr>
        <a:noFill/>
        <a:ln>
          <a:noFill/>
        </a:ln>
        <a:effectLst/>
      </c:spPr>
    </c:plotArea>
    <c:plotVisOnly val="1"/>
    <c:dispBlanksAs val="zero"/>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fr-FR"/>
              <a:t>Daily Stocks Performance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fr-FR"/>
        </a:p>
      </c:txPr>
    </c:title>
    <c:autoTitleDeleted val="0"/>
    <c:plotArea>
      <c:layout/>
      <c:barChart>
        <c:barDir val="col"/>
        <c:grouping val="clustered"/>
        <c:varyColors val="0"/>
        <c:ser>
          <c:idx val="0"/>
          <c:order val="0"/>
          <c:tx>
            <c:strRef>
              <c:f>'Daily Stocks Performance'!$C$2</c:f>
              <c:strCache>
                <c:ptCount val="1"/>
                <c:pt idx="0">
                  <c:v>Return SAH</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'Daily Stocks Performance'!$A$3:$A$13</c:f>
              <c:strCache>
                <c:ptCount val="11"/>
                <c:pt idx="0">
                  <c:v>Dec 31, 2024</c:v>
                </c:pt>
                <c:pt idx="1">
                  <c:v>Dec 30, 2024</c:v>
                </c:pt>
                <c:pt idx="2">
                  <c:v>Dec 27, 2024</c:v>
                </c:pt>
                <c:pt idx="3">
                  <c:v>Dec 26, 2024</c:v>
                </c:pt>
                <c:pt idx="4">
                  <c:v>Dec 25, 2024</c:v>
                </c:pt>
                <c:pt idx="5">
                  <c:v>Dec 24, 2024</c:v>
                </c:pt>
                <c:pt idx="6">
                  <c:v>Dec 23, 2024</c:v>
                </c:pt>
                <c:pt idx="7">
                  <c:v>Dec 20, 2024</c:v>
                </c:pt>
                <c:pt idx="8">
                  <c:v>Dec 19, 2024</c:v>
                </c:pt>
                <c:pt idx="9">
                  <c:v>Dec 18, 2024</c:v>
                </c:pt>
                <c:pt idx="10">
                  <c:v>Dec 16, 2024</c:v>
                </c:pt>
              </c:strCache>
            </c:strRef>
          </c:cat>
          <c:val>
            <c:numRef>
              <c:f>'Daily Stocks Performance'!$C$3:$C$13</c:f>
              <c:numCache>
                <c:formatCode>0.00%</c:formatCode>
                <c:ptCount val="11"/>
                <c:pt idx="0">
                  <c:v>1.4895729890764682E-2</c:v>
                </c:pt>
                <c:pt idx="1">
                  <c:v>2.9791459781528659E-3</c:v>
                </c:pt>
                <c:pt idx="2">
                  <c:v>-1.9860973187685771E-3</c:v>
                </c:pt>
                <c:pt idx="3">
                  <c:v>1.9860973187685771E-3</c:v>
                </c:pt>
                <c:pt idx="4">
                  <c:v>1.9860973187685771E-3</c:v>
                </c:pt>
                <c:pt idx="5">
                  <c:v>1.9860973187685771E-3</c:v>
                </c:pt>
                <c:pt idx="6">
                  <c:v>2.9791459781528659E-3</c:v>
                </c:pt>
                <c:pt idx="7">
                  <c:v>2.9791459781528659E-3</c:v>
                </c:pt>
                <c:pt idx="8">
                  <c:v>3.9721946375371542E-3</c:v>
                </c:pt>
                <c:pt idx="9">
                  <c:v>3.9721946375371542E-3</c:v>
                </c:pt>
                <c:pt idx="10">
                  <c:v>1.2909632571995929E-2</c:v>
                </c:pt>
              </c:numCache>
            </c:numRef>
          </c:val>
          <c:extLst>
            <c:ext xmlns:c16="http://schemas.microsoft.com/office/drawing/2014/chart" uri="{C3380CC4-5D6E-409C-BE32-E72D297353CC}">
              <c16:uniqueId val="{00000000-A27F-413C-BDF5-E58504A0B201}"/>
            </c:ext>
          </c:extLst>
        </c:ser>
        <c:ser>
          <c:idx val="1"/>
          <c:order val="1"/>
          <c:tx>
            <c:strRef>
              <c:f>'Daily Stocks Performance'!$G$2</c:f>
              <c:strCache>
                <c:ptCount val="1"/>
                <c:pt idx="0">
                  <c:v>Return SPDI</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'Daily Stocks Performance'!$A$3:$A$13</c:f>
              <c:strCache>
                <c:ptCount val="11"/>
                <c:pt idx="0">
                  <c:v>Dec 31, 2024</c:v>
                </c:pt>
                <c:pt idx="1">
                  <c:v>Dec 30, 2024</c:v>
                </c:pt>
                <c:pt idx="2">
                  <c:v>Dec 27, 2024</c:v>
                </c:pt>
                <c:pt idx="3">
                  <c:v>Dec 26, 2024</c:v>
                </c:pt>
                <c:pt idx="4">
                  <c:v>Dec 25, 2024</c:v>
                </c:pt>
                <c:pt idx="5">
                  <c:v>Dec 24, 2024</c:v>
                </c:pt>
                <c:pt idx="6">
                  <c:v>Dec 23, 2024</c:v>
                </c:pt>
                <c:pt idx="7">
                  <c:v>Dec 20, 2024</c:v>
                </c:pt>
                <c:pt idx="8">
                  <c:v>Dec 19, 2024</c:v>
                </c:pt>
                <c:pt idx="9">
                  <c:v>Dec 18, 2024</c:v>
                </c:pt>
                <c:pt idx="10">
                  <c:v>Dec 16, 2024</c:v>
                </c:pt>
              </c:strCache>
            </c:strRef>
          </c:cat>
          <c:val>
            <c:numRef>
              <c:f>'Daily Stocks Performance'!$G$3:$G$13</c:f>
              <c:numCache>
                <c:formatCode>0.00%</c:formatCode>
                <c:ptCount val="11"/>
                <c:pt idx="0">
                  <c:v>9.6892138939670983E-2</c:v>
                </c:pt>
                <c:pt idx="1">
                  <c:v>5.0274223034734986E-2</c:v>
                </c:pt>
                <c:pt idx="2">
                  <c:v>5.4844606946984004E-3</c:v>
                </c:pt>
                <c:pt idx="3">
                  <c:v>4.2047531992687466E-2</c:v>
                </c:pt>
                <c:pt idx="4">
                  <c:v>8.7751371115173754E-2</c:v>
                </c:pt>
                <c:pt idx="5">
                  <c:v>4.6617915904935997E-2</c:v>
                </c:pt>
                <c:pt idx="6">
                  <c:v>5.4844606946984004E-3</c:v>
                </c:pt>
                <c:pt idx="7">
                  <c:v>5.4844606946984004E-3</c:v>
                </c:pt>
                <c:pt idx="8">
                  <c:v>-9.1407678244970637E-4</c:v>
                </c:pt>
                <c:pt idx="9">
                  <c:v>0</c:v>
                </c:pt>
                <c:pt idx="10">
                  <c:v>-9.1407678244970637E-4</c:v>
                </c:pt>
              </c:numCache>
            </c:numRef>
          </c:val>
          <c:extLst>
            <c:ext xmlns:c16="http://schemas.microsoft.com/office/drawing/2014/chart" uri="{C3380CC4-5D6E-409C-BE32-E72D297353CC}">
              <c16:uniqueId val="{00000001-A27F-413C-BDF5-E58504A0B201}"/>
            </c:ext>
          </c:extLst>
        </c:ser>
        <c:ser>
          <c:idx val="2"/>
          <c:order val="2"/>
          <c:tx>
            <c:strRef>
              <c:f>'Daily Stocks Performance'!$K$2</c:f>
              <c:strCache>
                <c:ptCount val="1"/>
                <c:pt idx="0">
                  <c:v>Rturn SFBT </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'Daily Stocks Performance'!$A$3:$A$13</c:f>
              <c:strCache>
                <c:ptCount val="11"/>
                <c:pt idx="0">
                  <c:v>Dec 31, 2024</c:v>
                </c:pt>
                <c:pt idx="1">
                  <c:v>Dec 30, 2024</c:v>
                </c:pt>
                <c:pt idx="2">
                  <c:v>Dec 27, 2024</c:v>
                </c:pt>
                <c:pt idx="3">
                  <c:v>Dec 26, 2024</c:v>
                </c:pt>
                <c:pt idx="4">
                  <c:v>Dec 25, 2024</c:v>
                </c:pt>
                <c:pt idx="5">
                  <c:v>Dec 24, 2024</c:v>
                </c:pt>
                <c:pt idx="6">
                  <c:v>Dec 23, 2024</c:v>
                </c:pt>
                <c:pt idx="7">
                  <c:v>Dec 20, 2024</c:v>
                </c:pt>
                <c:pt idx="8">
                  <c:v>Dec 19, 2024</c:v>
                </c:pt>
                <c:pt idx="9">
                  <c:v>Dec 18, 2024</c:v>
                </c:pt>
                <c:pt idx="10">
                  <c:v>Dec 16, 2024</c:v>
                </c:pt>
              </c:strCache>
            </c:strRef>
          </c:cat>
          <c:val>
            <c:numRef>
              <c:f>'Daily Stocks Performance'!$K$3:$K$13</c:f>
              <c:numCache>
                <c:formatCode>0.00%</c:formatCode>
                <c:ptCount val="11"/>
                <c:pt idx="0">
                  <c:v>-1.6949152542372972E-2</c:v>
                </c:pt>
                <c:pt idx="1">
                  <c:v>-1.1016949152542439E-2</c:v>
                </c:pt>
                <c:pt idx="2">
                  <c:v>-1.1864406779661064E-2</c:v>
                </c:pt>
                <c:pt idx="3">
                  <c:v>-5.932203389830532E-3</c:v>
                </c:pt>
                <c:pt idx="4">
                  <c:v>-2.5423728813560283E-3</c:v>
                </c:pt>
                <c:pt idx="5">
                  <c:v>5.932203389830382E-3</c:v>
                </c:pt>
                <c:pt idx="6">
                  <c:v>8.4745762711864094E-3</c:v>
                </c:pt>
                <c:pt idx="7">
                  <c:v>-1.6949152542374024E-3</c:v>
                </c:pt>
                <c:pt idx="8">
                  <c:v>0</c:v>
                </c:pt>
                <c:pt idx="9">
                  <c:v>0</c:v>
                </c:pt>
                <c:pt idx="10">
                  <c:v>-2.5423728813560283E-3</c:v>
                </c:pt>
              </c:numCache>
            </c:numRef>
          </c:val>
          <c:extLst>
            <c:ext xmlns:c16="http://schemas.microsoft.com/office/drawing/2014/chart" uri="{C3380CC4-5D6E-409C-BE32-E72D297353CC}">
              <c16:uniqueId val="{00000002-A27F-413C-BDF5-E58504A0B201}"/>
            </c:ext>
          </c:extLst>
        </c:ser>
        <c:ser>
          <c:idx val="3"/>
          <c:order val="3"/>
          <c:tx>
            <c:strRef>
              <c:f>'Daily Stocks Performance'!$O$2</c:f>
              <c:strCache>
                <c:ptCount val="1"/>
                <c:pt idx="0">
                  <c:v>Return STVR</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cat>
            <c:strRef>
              <c:f>'Daily Stocks Performance'!$A$3:$A$13</c:f>
              <c:strCache>
                <c:ptCount val="11"/>
                <c:pt idx="0">
                  <c:v>Dec 31, 2024</c:v>
                </c:pt>
                <c:pt idx="1">
                  <c:v>Dec 30, 2024</c:v>
                </c:pt>
                <c:pt idx="2">
                  <c:v>Dec 27, 2024</c:v>
                </c:pt>
                <c:pt idx="3">
                  <c:v>Dec 26, 2024</c:v>
                </c:pt>
                <c:pt idx="4">
                  <c:v>Dec 25, 2024</c:v>
                </c:pt>
                <c:pt idx="5">
                  <c:v>Dec 24, 2024</c:v>
                </c:pt>
                <c:pt idx="6">
                  <c:v>Dec 23, 2024</c:v>
                </c:pt>
                <c:pt idx="7">
                  <c:v>Dec 20, 2024</c:v>
                </c:pt>
                <c:pt idx="8">
                  <c:v>Dec 19, 2024</c:v>
                </c:pt>
                <c:pt idx="9">
                  <c:v>Dec 18, 2024</c:v>
                </c:pt>
                <c:pt idx="10">
                  <c:v>Dec 16, 2024</c:v>
                </c:pt>
              </c:strCache>
            </c:strRef>
          </c:cat>
          <c:val>
            <c:numRef>
              <c:f>'Daily Stocks Performance'!$O$3:$O$13</c:f>
              <c:numCache>
                <c:formatCode>0.00%</c:formatCode>
                <c:ptCount val="11"/>
                <c:pt idx="0">
                  <c:v>-1.48437500000001E-2</c:v>
                </c:pt>
                <c:pt idx="1">
                  <c:v>-7.812500000000111E-3</c:v>
                </c:pt>
                <c:pt idx="2">
                  <c:v>-1.1718750000000028E-2</c:v>
                </c:pt>
                <c:pt idx="3">
                  <c:v>-1.5625000000000083E-2</c:v>
                </c:pt>
                <c:pt idx="4">
                  <c:v>-1.1718750000000028E-2</c:v>
                </c:pt>
                <c:pt idx="5">
                  <c:v>-1.1718750000000028E-2</c:v>
                </c:pt>
                <c:pt idx="6">
                  <c:v>-6.2500000000000056E-3</c:v>
                </c:pt>
                <c:pt idx="7">
                  <c:v>-1.2500000000000011E-2</c:v>
                </c:pt>
                <c:pt idx="8">
                  <c:v>2.34374999999995E-3</c:v>
                </c:pt>
                <c:pt idx="9">
                  <c:v>3.1249999999999334E-3</c:v>
                </c:pt>
                <c:pt idx="10">
                  <c:v>0</c:v>
                </c:pt>
              </c:numCache>
            </c:numRef>
          </c:val>
          <c:extLst>
            <c:ext xmlns:c16="http://schemas.microsoft.com/office/drawing/2014/chart" uri="{C3380CC4-5D6E-409C-BE32-E72D297353CC}">
              <c16:uniqueId val="{00000003-A27F-413C-BDF5-E58504A0B201}"/>
            </c:ext>
          </c:extLst>
        </c:ser>
        <c:ser>
          <c:idx val="4"/>
          <c:order val="4"/>
          <c:tx>
            <c:strRef>
              <c:f>'Daily Stocks Performance'!$S$2</c:f>
              <c:strCache>
                <c:ptCount val="1"/>
                <c:pt idx="0">
                  <c:v>Return MGR</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'Daily Stocks Performance'!$A$3:$A$13</c:f>
              <c:strCache>
                <c:ptCount val="11"/>
                <c:pt idx="0">
                  <c:v>Dec 31, 2024</c:v>
                </c:pt>
                <c:pt idx="1">
                  <c:v>Dec 30, 2024</c:v>
                </c:pt>
                <c:pt idx="2">
                  <c:v>Dec 27, 2024</c:v>
                </c:pt>
                <c:pt idx="3">
                  <c:v>Dec 26, 2024</c:v>
                </c:pt>
                <c:pt idx="4">
                  <c:v>Dec 25, 2024</c:v>
                </c:pt>
                <c:pt idx="5">
                  <c:v>Dec 24, 2024</c:v>
                </c:pt>
                <c:pt idx="6">
                  <c:v>Dec 23, 2024</c:v>
                </c:pt>
                <c:pt idx="7">
                  <c:v>Dec 20, 2024</c:v>
                </c:pt>
                <c:pt idx="8">
                  <c:v>Dec 19, 2024</c:v>
                </c:pt>
                <c:pt idx="9">
                  <c:v>Dec 18, 2024</c:v>
                </c:pt>
                <c:pt idx="10">
                  <c:v>Dec 16, 2024</c:v>
                </c:pt>
              </c:strCache>
            </c:strRef>
          </c:cat>
          <c:val>
            <c:numRef>
              <c:f>'Daily Stocks Performance'!$S$3:$S$13</c:f>
              <c:numCache>
                <c:formatCode>0.00%</c:formatCode>
                <c:ptCount val="11"/>
                <c:pt idx="0">
                  <c:v>-3.6979969183359045E-2</c:v>
                </c:pt>
                <c:pt idx="1">
                  <c:v>-6.1633281972265077E-3</c:v>
                </c:pt>
                <c:pt idx="2">
                  <c:v>-2.6194144838212623E-2</c:v>
                </c:pt>
                <c:pt idx="3">
                  <c:v>-2.7734976887519351E-2</c:v>
                </c:pt>
                <c:pt idx="4">
                  <c:v>-2.7734976887519351E-2</c:v>
                </c:pt>
                <c:pt idx="5">
                  <c:v>-2.7734976887519351E-2</c:v>
                </c:pt>
                <c:pt idx="6">
                  <c:v>-2.7734976887519351E-2</c:v>
                </c:pt>
                <c:pt idx="7">
                  <c:v>-2.7734976887519351E-2</c:v>
                </c:pt>
                <c:pt idx="8">
                  <c:v>-2.7734976887519351E-2</c:v>
                </c:pt>
                <c:pt idx="9">
                  <c:v>-2.7734976887519351E-2</c:v>
                </c:pt>
                <c:pt idx="10">
                  <c:v>-2.6194144838212623E-2</c:v>
                </c:pt>
              </c:numCache>
            </c:numRef>
          </c:val>
          <c:extLst>
            <c:ext xmlns:c16="http://schemas.microsoft.com/office/drawing/2014/chart" uri="{C3380CC4-5D6E-409C-BE32-E72D297353CC}">
              <c16:uniqueId val="{00000004-A27F-413C-BDF5-E58504A0B201}"/>
            </c:ext>
          </c:extLst>
        </c:ser>
        <c:ser>
          <c:idx val="5"/>
          <c:order val="5"/>
          <c:tx>
            <c:strRef>
              <c:f>'Daily Stocks Performance'!$W$2</c:f>
              <c:strCache>
                <c:ptCount val="1"/>
                <c:pt idx="0">
                  <c:v>Return MPBS</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Ref>
              <c:f>'Daily Stocks Performance'!$A$3:$A$13</c:f>
              <c:strCache>
                <c:ptCount val="11"/>
                <c:pt idx="0">
                  <c:v>Dec 31, 2024</c:v>
                </c:pt>
                <c:pt idx="1">
                  <c:v>Dec 30, 2024</c:v>
                </c:pt>
                <c:pt idx="2">
                  <c:v>Dec 27, 2024</c:v>
                </c:pt>
                <c:pt idx="3">
                  <c:v>Dec 26, 2024</c:v>
                </c:pt>
                <c:pt idx="4">
                  <c:v>Dec 25, 2024</c:v>
                </c:pt>
                <c:pt idx="5">
                  <c:v>Dec 24, 2024</c:v>
                </c:pt>
                <c:pt idx="6">
                  <c:v>Dec 23, 2024</c:v>
                </c:pt>
                <c:pt idx="7">
                  <c:v>Dec 20, 2024</c:v>
                </c:pt>
                <c:pt idx="8">
                  <c:v>Dec 19, 2024</c:v>
                </c:pt>
                <c:pt idx="9">
                  <c:v>Dec 18, 2024</c:v>
                </c:pt>
                <c:pt idx="10">
                  <c:v>Dec 16, 2024</c:v>
                </c:pt>
              </c:strCache>
            </c:strRef>
          </c:cat>
          <c:val>
            <c:numRef>
              <c:f>'Daily Stocks Performance'!$W$3:$W$13</c:f>
              <c:numCache>
                <c:formatCode>0.00%</c:formatCode>
                <c:ptCount val="11"/>
                <c:pt idx="0">
                  <c:v>2.7777777777777783E-2</c:v>
                </c:pt>
                <c:pt idx="1">
                  <c:v>3.5353535353535345E-2</c:v>
                </c:pt>
                <c:pt idx="2">
                  <c:v>2.6094276094275986E-2</c:v>
                </c:pt>
                <c:pt idx="3">
                  <c:v>1.5993265993265952E-2</c:v>
                </c:pt>
                <c:pt idx="4">
                  <c:v>-5.8922558922559157E-3</c:v>
                </c:pt>
                <c:pt idx="5">
                  <c:v>1.6835016835016474E-3</c:v>
                </c:pt>
                <c:pt idx="6">
                  <c:v>1.6835016835016474E-3</c:v>
                </c:pt>
                <c:pt idx="7">
                  <c:v>-3.3670033670034445E-3</c:v>
                </c:pt>
                <c:pt idx="8">
                  <c:v>0</c:v>
                </c:pt>
                <c:pt idx="9">
                  <c:v>-1.5151515151515277E-2</c:v>
                </c:pt>
                <c:pt idx="10">
                  <c:v>0</c:v>
                </c:pt>
              </c:numCache>
            </c:numRef>
          </c:val>
          <c:extLst>
            <c:ext xmlns:c16="http://schemas.microsoft.com/office/drawing/2014/chart" uri="{C3380CC4-5D6E-409C-BE32-E72D297353CC}">
              <c16:uniqueId val="{00000005-A27F-413C-BDF5-E58504A0B201}"/>
            </c:ext>
          </c:extLst>
        </c:ser>
        <c:ser>
          <c:idx val="6"/>
          <c:order val="6"/>
          <c:tx>
            <c:strRef>
              <c:f>'Daily Stocks Performance'!$AA$2</c:f>
              <c:strCache>
                <c:ptCount val="1"/>
                <c:pt idx="0">
                  <c:v>Return ARTES</c:v>
                </c:pt>
              </c:strCache>
            </c:strRef>
          </c:tx>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invertIfNegative val="0"/>
          <c:cat>
            <c:strRef>
              <c:f>'Daily Stocks Performance'!$A$3:$A$13</c:f>
              <c:strCache>
                <c:ptCount val="11"/>
                <c:pt idx="0">
                  <c:v>Dec 31, 2024</c:v>
                </c:pt>
                <c:pt idx="1">
                  <c:v>Dec 30, 2024</c:v>
                </c:pt>
                <c:pt idx="2">
                  <c:v>Dec 27, 2024</c:v>
                </c:pt>
                <c:pt idx="3">
                  <c:v>Dec 26, 2024</c:v>
                </c:pt>
                <c:pt idx="4">
                  <c:v>Dec 25, 2024</c:v>
                </c:pt>
                <c:pt idx="5">
                  <c:v>Dec 24, 2024</c:v>
                </c:pt>
                <c:pt idx="6">
                  <c:v>Dec 23, 2024</c:v>
                </c:pt>
                <c:pt idx="7">
                  <c:v>Dec 20, 2024</c:v>
                </c:pt>
                <c:pt idx="8">
                  <c:v>Dec 19, 2024</c:v>
                </c:pt>
                <c:pt idx="9">
                  <c:v>Dec 18, 2024</c:v>
                </c:pt>
                <c:pt idx="10">
                  <c:v>Dec 16, 2024</c:v>
                </c:pt>
              </c:strCache>
            </c:strRef>
          </c:cat>
          <c:val>
            <c:numRef>
              <c:f>'Daily Stocks Performance'!$AA$3:$AA$13</c:f>
              <c:numCache>
                <c:formatCode>0.00%</c:formatCode>
                <c:ptCount val="11"/>
                <c:pt idx="0">
                  <c:v>2.4999999999999911E-2</c:v>
                </c:pt>
                <c:pt idx="1">
                  <c:v>1.2499999999999734E-3</c:v>
                </c:pt>
                <c:pt idx="2">
                  <c:v>0</c:v>
                </c:pt>
                <c:pt idx="3">
                  <c:v>0</c:v>
                </c:pt>
                <c:pt idx="4">
                  <c:v>-2.4999999999999467E-3</c:v>
                </c:pt>
                <c:pt idx="5">
                  <c:v>6.2500000000000888E-3</c:v>
                </c:pt>
                <c:pt idx="6">
                  <c:v>-2.4999999999999467E-3</c:v>
                </c:pt>
                <c:pt idx="7">
                  <c:v>-2.4999999999999467E-3</c:v>
                </c:pt>
                <c:pt idx="8">
                  <c:v>-2.4999999999999467E-3</c:v>
                </c:pt>
                <c:pt idx="9">
                  <c:v>-1.2499999999999956E-2</c:v>
                </c:pt>
                <c:pt idx="10">
                  <c:v>-1.2499999999999956E-2</c:v>
                </c:pt>
              </c:numCache>
            </c:numRef>
          </c:val>
          <c:extLst>
            <c:ext xmlns:c16="http://schemas.microsoft.com/office/drawing/2014/chart" uri="{C3380CC4-5D6E-409C-BE32-E72D297353CC}">
              <c16:uniqueId val="{00000006-A27F-413C-BDF5-E58504A0B201}"/>
            </c:ext>
          </c:extLst>
        </c:ser>
        <c:ser>
          <c:idx val="7"/>
          <c:order val="7"/>
          <c:tx>
            <c:strRef>
              <c:f>'Daily Stocks Performance'!$AE$2</c:f>
              <c:strCache>
                <c:ptCount val="1"/>
                <c:pt idx="0">
                  <c:v>Return OTH</c:v>
                </c:pt>
              </c:strCache>
            </c:strRef>
          </c:tx>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invertIfNegative val="0"/>
          <c:cat>
            <c:strRef>
              <c:f>'Daily Stocks Performance'!$A$3:$A$13</c:f>
              <c:strCache>
                <c:ptCount val="11"/>
                <c:pt idx="0">
                  <c:v>Dec 31, 2024</c:v>
                </c:pt>
                <c:pt idx="1">
                  <c:v>Dec 30, 2024</c:v>
                </c:pt>
                <c:pt idx="2">
                  <c:v>Dec 27, 2024</c:v>
                </c:pt>
                <c:pt idx="3">
                  <c:v>Dec 26, 2024</c:v>
                </c:pt>
                <c:pt idx="4">
                  <c:v>Dec 25, 2024</c:v>
                </c:pt>
                <c:pt idx="5">
                  <c:v>Dec 24, 2024</c:v>
                </c:pt>
                <c:pt idx="6">
                  <c:v>Dec 23, 2024</c:v>
                </c:pt>
                <c:pt idx="7">
                  <c:v>Dec 20, 2024</c:v>
                </c:pt>
                <c:pt idx="8">
                  <c:v>Dec 19, 2024</c:v>
                </c:pt>
                <c:pt idx="9">
                  <c:v>Dec 18, 2024</c:v>
                </c:pt>
                <c:pt idx="10">
                  <c:v>Dec 16, 2024</c:v>
                </c:pt>
              </c:strCache>
            </c:strRef>
          </c:cat>
          <c:val>
            <c:numRef>
              <c:f>'Daily Stocks Performance'!$AE$3:$AE$13</c:f>
              <c:numCache>
                <c:formatCode>0.00%</c:formatCode>
                <c:ptCount val="11"/>
                <c:pt idx="0">
                  <c:v>-1.89E-2</c:v>
                </c:pt>
                <c:pt idx="1">
                  <c:v>-1.89E-2</c:v>
                </c:pt>
                <c:pt idx="2">
                  <c:v>-1.89E-2</c:v>
                </c:pt>
                <c:pt idx="3">
                  <c:v>-1.37E-2</c:v>
                </c:pt>
                <c:pt idx="4">
                  <c:v>-3.0499999999999999E-2</c:v>
                </c:pt>
                <c:pt idx="5">
                  <c:v>-1.89E-2</c:v>
                </c:pt>
                <c:pt idx="6">
                  <c:v>-1.37E-2</c:v>
                </c:pt>
                <c:pt idx="7">
                  <c:v>-5.1999999999999998E-3</c:v>
                </c:pt>
                <c:pt idx="8">
                  <c:v>3.2000000000000002E-3</c:v>
                </c:pt>
                <c:pt idx="9">
                  <c:v>-8.3999999999999995E-3</c:v>
                </c:pt>
                <c:pt idx="10">
                  <c:v>-4.2194092827005196E-3</c:v>
                </c:pt>
              </c:numCache>
            </c:numRef>
          </c:val>
          <c:extLst>
            <c:ext xmlns:c16="http://schemas.microsoft.com/office/drawing/2014/chart" uri="{C3380CC4-5D6E-409C-BE32-E72D297353CC}">
              <c16:uniqueId val="{00000007-A27F-413C-BDF5-E58504A0B201}"/>
            </c:ext>
          </c:extLst>
        </c:ser>
        <c:ser>
          <c:idx val="8"/>
          <c:order val="8"/>
          <c:tx>
            <c:strRef>
              <c:f>'Daily Stocks Performance'!$AI$2</c:f>
              <c:strCache>
                <c:ptCount val="1"/>
                <c:pt idx="0">
                  <c:v>Return TUNINV</c:v>
                </c:pt>
              </c:strCache>
            </c:strRef>
          </c:tx>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invertIfNegative val="0"/>
          <c:cat>
            <c:strRef>
              <c:f>'Daily Stocks Performance'!$A$3:$A$13</c:f>
              <c:strCache>
                <c:ptCount val="11"/>
                <c:pt idx="0">
                  <c:v>Dec 31, 2024</c:v>
                </c:pt>
                <c:pt idx="1">
                  <c:v>Dec 30, 2024</c:v>
                </c:pt>
                <c:pt idx="2">
                  <c:v>Dec 27, 2024</c:v>
                </c:pt>
                <c:pt idx="3">
                  <c:v>Dec 26, 2024</c:v>
                </c:pt>
                <c:pt idx="4">
                  <c:v>Dec 25, 2024</c:v>
                </c:pt>
                <c:pt idx="5">
                  <c:v>Dec 24, 2024</c:v>
                </c:pt>
                <c:pt idx="6">
                  <c:v>Dec 23, 2024</c:v>
                </c:pt>
                <c:pt idx="7">
                  <c:v>Dec 20, 2024</c:v>
                </c:pt>
                <c:pt idx="8">
                  <c:v>Dec 19, 2024</c:v>
                </c:pt>
                <c:pt idx="9">
                  <c:v>Dec 18, 2024</c:v>
                </c:pt>
                <c:pt idx="10">
                  <c:v>Dec 16, 2024</c:v>
                </c:pt>
              </c:strCache>
            </c:strRef>
          </c:cat>
          <c:val>
            <c:numRef>
              <c:f>'Daily Stocks Performance'!$AI$3:$AI$13</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8-A27F-413C-BDF5-E58504A0B201}"/>
            </c:ext>
          </c:extLst>
        </c:ser>
        <c:dLbls>
          <c:showLegendKey val="0"/>
          <c:showVal val="0"/>
          <c:showCatName val="0"/>
          <c:showSerName val="0"/>
          <c:showPercent val="0"/>
          <c:showBubbleSize val="0"/>
        </c:dLbls>
        <c:gapWidth val="100"/>
        <c:overlap val="-24"/>
        <c:axId val="618752320"/>
        <c:axId val="618750520"/>
      </c:barChart>
      <c:catAx>
        <c:axId val="61875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618750520"/>
        <c:crosses val="autoZero"/>
        <c:auto val="1"/>
        <c:lblAlgn val="ctr"/>
        <c:lblOffset val="100"/>
        <c:noMultiLvlLbl val="0"/>
      </c:catAx>
      <c:valAx>
        <c:axId val="6187505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618752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0"/>
              <a:t>Daily Return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'Portfolio Daily Return'!$H$2</c:f>
              <c:strCache>
                <c:ptCount val="1"/>
                <c:pt idx="0">
                  <c:v>Daily Return</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'Portfolio Daily Return'!$A$3:$A$14</c:f>
              <c:numCache>
                <c:formatCode>d/m/yyyy</c:formatCode>
                <c:ptCount val="12"/>
                <c:pt idx="0">
                  <c:v>45639</c:v>
                </c:pt>
                <c:pt idx="1">
                  <c:v>45642</c:v>
                </c:pt>
                <c:pt idx="2">
                  <c:v>45644</c:v>
                </c:pt>
                <c:pt idx="3">
                  <c:v>45645</c:v>
                </c:pt>
                <c:pt idx="4">
                  <c:v>45646</c:v>
                </c:pt>
                <c:pt idx="5">
                  <c:v>45649</c:v>
                </c:pt>
                <c:pt idx="6">
                  <c:v>45650</c:v>
                </c:pt>
                <c:pt idx="7">
                  <c:v>45651</c:v>
                </c:pt>
                <c:pt idx="8">
                  <c:v>45652</c:v>
                </c:pt>
                <c:pt idx="9">
                  <c:v>45653</c:v>
                </c:pt>
                <c:pt idx="10">
                  <c:v>45656</c:v>
                </c:pt>
                <c:pt idx="11" formatCode="m/d/yyyy">
                  <c:v>45657</c:v>
                </c:pt>
              </c:numCache>
            </c:numRef>
          </c:cat>
          <c:val>
            <c:numRef>
              <c:f>'Portfolio Daily Return'!$H$3:$H$14</c:f>
              <c:numCache>
                <c:formatCode>00.00%</c:formatCode>
                <c:ptCount val="12"/>
                <c:pt idx="0">
                  <c:v>0</c:v>
                </c:pt>
                <c:pt idx="1">
                  <c:v>-6.1265676805535123E-3</c:v>
                </c:pt>
                <c:pt idx="2">
                  <c:v>-1.3779099282036238E-3</c:v>
                </c:pt>
                <c:pt idx="3">
                  <c:v>1.1982570806099639E-3</c:v>
                </c:pt>
                <c:pt idx="4">
                  <c:v>-5.8027780800046474E-4</c:v>
                </c:pt>
                <c:pt idx="5">
                  <c:v>1.7055557571577834E-3</c:v>
                </c:pt>
                <c:pt idx="6">
                  <c:v>3.5502101144762287E-3</c:v>
                </c:pt>
                <c:pt idx="7">
                  <c:v>1.7688253555700275E-3</c:v>
                </c:pt>
                <c:pt idx="8">
                  <c:v>-4.143994810997924E-3</c:v>
                </c:pt>
                <c:pt idx="9">
                  <c:v>-4.7040092632796154E-4</c:v>
                </c:pt>
                <c:pt idx="10">
                  <c:v>7.6385620678420642E-3</c:v>
                </c:pt>
                <c:pt idx="11" formatCode="0.00%">
                  <c:v>-1.8682187252999272E-3</c:v>
                </c:pt>
              </c:numCache>
            </c:numRef>
          </c:val>
          <c:smooth val="0"/>
          <c:extLst>
            <c:ext xmlns:c16="http://schemas.microsoft.com/office/drawing/2014/chart" uri="{C3380CC4-5D6E-409C-BE32-E72D297353CC}">
              <c16:uniqueId val="{00000000-C8C0-4AA4-99A8-54922FF09046}"/>
            </c:ext>
          </c:extLst>
        </c:ser>
        <c:dLbls>
          <c:showLegendKey val="0"/>
          <c:showVal val="0"/>
          <c:showCatName val="0"/>
          <c:showSerName val="0"/>
          <c:showPercent val="0"/>
          <c:showBubbleSize val="0"/>
        </c:dLbls>
        <c:smooth val="0"/>
        <c:axId val="809085488"/>
        <c:axId val="809083328"/>
      </c:lineChart>
      <c:dateAx>
        <c:axId val="809085488"/>
        <c:scaling>
          <c:orientation val="minMax"/>
        </c:scaling>
        <c:delete val="0"/>
        <c:axPos val="b"/>
        <c:numFmt formatCode="d/m/yyyy"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09083328"/>
        <c:crosses val="autoZero"/>
        <c:auto val="1"/>
        <c:lblOffset val="100"/>
        <c:baseTimeUnit val="days"/>
      </c:dateAx>
      <c:valAx>
        <c:axId val="809083328"/>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09085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Available  Amount</a:t>
            </a:r>
            <a:r>
              <a:rPr lang="en-US" baseline="0"/>
              <a:t> </a:t>
            </a:r>
          </a:p>
          <a:p>
            <a:pPr>
              <a:defRPr/>
            </a:pPr>
            <a:r>
              <a:rPr lang="en-US"/>
              <a:t>To Invest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fr-FR"/>
        </a:p>
      </c:txPr>
    </c:title>
    <c:autoTitleDeleted val="0"/>
    <c:plotArea>
      <c:layout/>
      <c:areaChart>
        <c:grouping val="stacked"/>
        <c:varyColors val="0"/>
        <c:ser>
          <c:idx val="0"/>
          <c:order val="0"/>
          <c:tx>
            <c:strRef>
              <c:f>'Portfolio Daily Return'!$F$2</c:f>
              <c:strCache>
                <c:ptCount val="1"/>
                <c:pt idx="0">
                  <c:v>Available To Invest</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cat>
            <c:numRef>
              <c:f>'Portfolio Daily Return'!$A$3:$A$14</c:f>
              <c:numCache>
                <c:formatCode>d/m/yyyy</c:formatCode>
                <c:ptCount val="12"/>
                <c:pt idx="0">
                  <c:v>45639</c:v>
                </c:pt>
                <c:pt idx="1">
                  <c:v>45642</c:v>
                </c:pt>
                <c:pt idx="2">
                  <c:v>45644</c:v>
                </c:pt>
                <c:pt idx="3">
                  <c:v>45645</c:v>
                </c:pt>
                <c:pt idx="4">
                  <c:v>45646</c:v>
                </c:pt>
                <c:pt idx="5">
                  <c:v>45649</c:v>
                </c:pt>
                <c:pt idx="6">
                  <c:v>45650</c:v>
                </c:pt>
                <c:pt idx="7">
                  <c:v>45651</c:v>
                </c:pt>
                <c:pt idx="8">
                  <c:v>45652</c:v>
                </c:pt>
                <c:pt idx="9">
                  <c:v>45653</c:v>
                </c:pt>
                <c:pt idx="10">
                  <c:v>45656</c:v>
                </c:pt>
                <c:pt idx="11" formatCode="m/d/yyyy">
                  <c:v>45657</c:v>
                </c:pt>
              </c:numCache>
            </c:numRef>
          </c:cat>
          <c:val>
            <c:numRef>
              <c:f>'Portfolio Daily Return'!$F$3:$F$14</c:f>
              <c:numCache>
                <c:formatCode>0.000</c:formatCode>
                <c:ptCount val="12"/>
                <c:pt idx="0">
                  <c:v>7.91</c:v>
                </c:pt>
                <c:pt idx="1">
                  <c:v>7.91</c:v>
                </c:pt>
                <c:pt idx="2">
                  <c:v>7.91</c:v>
                </c:pt>
                <c:pt idx="3">
                  <c:v>7.91</c:v>
                </c:pt>
                <c:pt idx="4">
                  <c:v>7.91</c:v>
                </c:pt>
                <c:pt idx="5">
                  <c:v>7.91</c:v>
                </c:pt>
                <c:pt idx="6">
                  <c:v>7.91</c:v>
                </c:pt>
                <c:pt idx="7">
                  <c:v>7.91</c:v>
                </c:pt>
                <c:pt idx="8">
                  <c:v>7.91</c:v>
                </c:pt>
                <c:pt idx="9">
                  <c:v>7.91</c:v>
                </c:pt>
                <c:pt idx="10">
                  <c:v>7.91</c:v>
                </c:pt>
                <c:pt idx="11">
                  <c:v>7.91</c:v>
                </c:pt>
              </c:numCache>
            </c:numRef>
          </c:val>
          <c:extLst>
            <c:ext xmlns:c16="http://schemas.microsoft.com/office/drawing/2014/chart" uri="{C3380CC4-5D6E-409C-BE32-E72D297353CC}">
              <c16:uniqueId val="{00000000-4AD4-48D0-A63C-1F4BDCEEF90B}"/>
            </c:ext>
          </c:extLst>
        </c:ser>
        <c:dLbls>
          <c:showLegendKey val="0"/>
          <c:showVal val="0"/>
          <c:showCatName val="0"/>
          <c:showSerName val="0"/>
          <c:showPercent val="0"/>
          <c:showBubbleSize val="0"/>
        </c:dLbls>
        <c:axId val="953853848"/>
        <c:axId val="953850968"/>
      </c:areaChart>
      <c:dateAx>
        <c:axId val="953853848"/>
        <c:scaling>
          <c:orientation val="minMax"/>
        </c:scaling>
        <c:delete val="0"/>
        <c:axPos val="b"/>
        <c:numFmt formatCode="d/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953850968"/>
        <c:crosses val="autoZero"/>
        <c:auto val="1"/>
        <c:lblOffset val="100"/>
        <c:baseTimeUnit val="days"/>
      </c:dateAx>
      <c:valAx>
        <c:axId val="953850968"/>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95385384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zero"/>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3275486456544207"/>
          <c:y val="2.94241277847835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'Daily Stocks Performance'!$C$2</c:f>
              <c:strCache>
                <c:ptCount val="1"/>
                <c:pt idx="0">
                  <c:v>Return SAH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'Daily Stocks Performance'!$A$3:$A$13</c:f>
              <c:strCache>
                <c:ptCount val="11"/>
                <c:pt idx="0">
                  <c:v>Dec 31, 2024</c:v>
                </c:pt>
                <c:pt idx="1">
                  <c:v>Dec 30, 2024</c:v>
                </c:pt>
                <c:pt idx="2">
                  <c:v>Dec 27, 2024</c:v>
                </c:pt>
                <c:pt idx="3">
                  <c:v>Dec 26, 2024</c:v>
                </c:pt>
                <c:pt idx="4">
                  <c:v>Dec 25, 2024</c:v>
                </c:pt>
                <c:pt idx="5">
                  <c:v>Dec 24, 2024</c:v>
                </c:pt>
                <c:pt idx="6">
                  <c:v>Dec 23, 2024</c:v>
                </c:pt>
                <c:pt idx="7">
                  <c:v>Dec 20, 2024</c:v>
                </c:pt>
                <c:pt idx="8">
                  <c:v>Dec 19, 2024</c:v>
                </c:pt>
                <c:pt idx="9">
                  <c:v>Dec 18, 2024</c:v>
                </c:pt>
                <c:pt idx="10">
                  <c:v>Dec 16, 2024</c:v>
                </c:pt>
              </c:strCache>
            </c:strRef>
          </c:cat>
          <c:val>
            <c:numRef>
              <c:f>'Daily Stocks Performance'!$C$3:$C$13</c:f>
              <c:numCache>
                <c:formatCode>0.00%</c:formatCode>
                <c:ptCount val="11"/>
                <c:pt idx="0">
                  <c:v>1.4895729890764682E-2</c:v>
                </c:pt>
                <c:pt idx="1">
                  <c:v>2.9791459781528659E-3</c:v>
                </c:pt>
                <c:pt idx="2">
                  <c:v>-1.9860973187685771E-3</c:v>
                </c:pt>
                <c:pt idx="3">
                  <c:v>1.9860973187685771E-3</c:v>
                </c:pt>
                <c:pt idx="4">
                  <c:v>1.9860973187685771E-3</c:v>
                </c:pt>
                <c:pt idx="5">
                  <c:v>1.9860973187685771E-3</c:v>
                </c:pt>
                <c:pt idx="6">
                  <c:v>2.9791459781528659E-3</c:v>
                </c:pt>
                <c:pt idx="7">
                  <c:v>2.9791459781528659E-3</c:v>
                </c:pt>
                <c:pt idx="8">
                  <c:v>3.9721946375371542E-3</c:v>
                </c:pt>
                <c:pt idx="9">
                  <c:v>3.9721946375371542E-3</c:v>
                </c:pt>
                <c:pt idx="10">
                  <c:v>1.2909632571995929E-2</c:v>
                </c:pt>
              </c:numCache>
            </c:numRef>
          </c:val>
          <c:smooth val="0"/>
          <c:extLst>
            <c:ext xmlns:c16="http://schemas.microsoft.com/office/drawing/2014/chart" uri="{C3380CC4-5D6E-409C-BE32-E72D297353CC}">
              <c16:uniqueId val="{00000000-867B-45E1-9CEA-D1429297D6F8}"/>
            </c:ext>
          </c:extLst>
        </c:ser>
        <c:dLbls>
          <c:showLegendKey val="0"/>
          <c:showVal val="0"/>
          <c:showCatName val="0"/>
          <c:showSerName val="0"/>
          <c:showPercent val="0"/>
          <c:showBubbleSize val="0"/>
        </c:dLbls>
        <c:marker val="1"/>
        <c:smooth val="0"/>
        <c:axId val="628502688"/>
        <c:axId val="628504488"/>
      </c:lineChart>
      <c:catAx>
        <c:axId val="62850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28504488"/>
        <c:crosses val="autoZero"/>
        <c:auto val="1"/>
        <c:lblAlgn val="ctr"/>
        <c:lblOffset val="100"/>
        <c:noMultiLvlLbl val="0"/>
      </c:catAx>
      <c:valAx>
        <c:axId val="6285044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2850268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'Daily Stocks Performance'!$G$2</c:f>
              <c:strCache>
                <c:ptCount val="1"/>
                <c:pt idx="0">
                  <c:v>Return SPDI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'Daily Stocks Performance'!$E$3:$E$13</c:f>
              <c:strCache>
                <c:ptCount val="11"/>
                <c:pt idx="0">
                  <c:v>Dec 31, 2024</c:v>
                </c:pt>
                <c:pt idx="1">
                  <c:v>Dec 30, 2024</c:v>
                </c:pt>
                <c:pt idx="2">
                  <c:v>Dec 27, 2024</c:v>
                </c:pt>
                <c:pt idx="3">
                  <c:v>Dec 26, 2024</c:v>
                </c:pt>
                <c:pt idx="4">
                  <c:v>Dec 25, 2024</c:v>
                </c:pt>
                <c:pt idx="5">
                  <c:v>Dec 24, 2024</c:v>
                </c:pt>
                <c:pt idx="6">
                  <c:v>Dec 23, 2024</c:v>
                </c:pt>
                <c:pt idx="7">
                  <c:v>Dec 20, 2024</c:v>
                </c:pt>
                <c:pt idx="8">
                  <c:v>Dec 19, 2024</c:v>
                </c:pt>
                <c:pt idx="9">
                  <c:v>Dec 18, 2024</c:v>
                </c:pt>
                <c:pt idx="10">
                  <c:v>Dec 16, 2024</c:v>
                </c:pt>
              </c:strCache>
            </c:strRef>
          </c:cat>
          <c:val>
            <c:numRef>
              <c:f>'Daily Stocks Performance'!$G$3:$G$13</c:f>
              <c:numCache>
                <c:formatCode>0.00%</c:formatCode>
                <c:ptCount val="11"/>
                <c:pt idx="0">
                  <c:v>9.6892138939670983E-2</c:v>
                </c:pt>
                <c:pt idx="1">
                  <c:v>5.0274223034734986E-2</c:v>
                </c:pt>
                <c:pt idx="2">
                  <c:v>5.4844606946984004E-3</c:v>
                </c:pt>
                <c:pt idx="3">
                  <c:v>4.2047531992687466E-2</c:v>
                </c:pt>
                <c:pt idx="4">
                  <c:v>8.7751371115173754E-2</c:v>
                </c:pt>
                <c:pt idx="5">
                  <c:v>4.6617915904935997E-2</c:v>
                </c:pt>
                <c:pt idx="6">
                  <c:v>5.4844606946984004E-3</c:v>
                </c:pt>
                <c:pt idx="7">
                  <c:v>5.4844606946984004E-3</c:v>
                </c:pt>
                <c:pt idx="8">
                  <c:v>-9.1407678244970637E-4</c:v>
                </c:pt>
                <c:pt idx="9">
                  <c:v>0</c:v>
                </c:pt>
                <c:pt idx="10">
                  <c:v>-9.1407678244970637E-4</c:v>
                </c:pt>
              </c:numCache>
            </c:numRef>
          </c:val>
          <c:smooth val="0"/>
          <c:extLst>
            <c:ext xmlns:c16="http://schemas.microsoft.com/office/drawing/2014/chart" uri="{C3380CC4-5D6E-409C-BE32-E72D297353CC}">
              <c16:uniqueId val="{00000000-8255-438B-B744-BD39AB37186B}"/>
            </c:ext>
          </c:extLst>
        </c:ser>
        <c:dLbls>
          <c:showLegendKey val="0"/>
          <c:showVal val="0"/>
          <c:showCatName val="0"/>
          <c:showSerName val="0"/>
          <c:showPercent val="0"/>
          <c:showBubbleSize val="0"/>
        </c:dLbls>
        <c:marker val="1"/>
        <c:smooth val="0"/>
        <c:axId val="1016998744"/>
        <c:axId val="1017003424"/>
      </c:lineChart>
      <c:catAx>
        <c:axId val="1016998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17003424"/>
        <c:crosses val="autoZero"/>
        <c:auto val="1"/>
        <c:lblAlgn val="ctr"/>
        <c:lblOffset val="100"/>
        <c:noMultiLvlLbl val="0"/>
      </c:catAx>
      <c:valAx>
        <c:axId val="10170034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1699874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Return SFBT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'Daily Stocks Performance'!$K$2</c:f>
              <c:strCache>
                <c:ptCount val="1"/>
                <c:pt idx="0">
                  <c:v>Rturn SFBT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'Daily Stocks Performance'!$I$3:$I$13</c:f>
              <c:strCache>
                <c:ptCount val="11"/>
                <c:pt idx="0">
                  <c:v>Dec 31, 2024</c:v>
                </c:pt>
                <c:pt idx="1">
                  <c:v>Dec 30, 2024</c:v>
                </c:pt>
                <c:pt idx="2">
                  <c:v>Dec 27, 2024</c:v>
                </c:pt>
                <c:pt idx="3">
                  <c:v>Dec 26, 2024</c:v>
                </c:pt>
                <c:pt idx="4">
                  <c:v>Dec 25, 2024</c:v>
                </c:pt>
                <c:pt idx="5">
                  <c:v>Dec 24, 2024</c:v>
                </c:pt>
                <c:pt idx="6">
                  <c:v>Dec 23, 2024</c:v>
                </c:pt>
                <c:pt idx="7">
                  <c:v>Dec 20, 2024</c:v>
                </c:pt>
                <c:pt idx="8">
                  <c:v>Dec 19, 2024</c:v>
                </c:pt>
                <c:pt idx="9">
                  <c:v>Dec 18, 2024</c:v>
                </c:pt>
                <c:pt idx="10">
                  <c:v>Dec 16, 2024</c:v>
                </c:pt>
              </c:strCache>
            </c:strRef>
          </c:cat>
          <c:val>
            <c:numRef>
              <c:f>'Daily Stocks Performance'!$K$3:$K$13</c:f>
              <c:numCache>
                <c:formatCode>0.00%</c:formatCode>
                <c:ptCount val="11"/>
                <c:pt idx="0">
                  <c:v>-1.6949152542372972E-2</c:v>
                </c:pt>
                <c:pt idx="1">
                  <c:v>-1.1016949152542439E-2</c:v>
                </c:pt>
                <c:pt idx="2">
                  <c:v>-1.1864406779661064E-2</c:v>
                </c:pt>
                <c:pt idx="3">
                  <c:v>-5.932203389830532E-3</c:v>
                </c:pt>
                <c:pt idx="4">
                  <c:v>-2.5423728813560283E-3</c:v>
                </c:pt>
                <c:pt idx="5">
                  <c:v>5.932203389830382E-3</c:v>
                </c:pt>
                <c:pt idx="6">
                  <c:v>8.4745762711864094E-3</c:v>
                </c:pt>
                <c:pt idx="7">
                  <c:v>-1.6949152542374024E-3</c:v>
                </c:pt>
                <c:pt idx="8">
                  <c:v>0</c:v>
                </c:pt>
                <c:pt idx="9">
                  <c:v>0</c:v>
                </c:pt>
                <c:pt idx="10">
                  <c:v>-2.5423728813560283E-3</c:v>
                </c:pt>
              </c:numCache>
            </c:numRef>
          </c:val>
          <c:smooth val="0"/>
          <c:extLst>
            <c:ext xmlns:c16="http://schemas.microsoft.com/office/drawing/2014/chart" uri="{C3380CC4-5D6E-409C-BE32-E72D297353CC}">
              <c16:uniqueId val="{00000000-B05C-484C-8B6A-595ECF6CB3FD}"/>
            </c:ext>
          </c:extLst>
        </c:ser>
        <c:dLbls>
          <c:showLegendKey val="0"/>
          <c:showVal val="0"/>
          <c:showCatName val="0"/>
          <c:showSerName val="0"/>
          <c:showPercent val="0"/>
          <c:showBubbleSize val="0"/>
        </c:dLbls>
        <c:marker val="1"/>
        <c:smooth val="0"/>
        <c:axId val="1158464584"/>
        <c:axId val="1158465304"/>
      </c:lineChart>
      <c:catAx>
        <c:axId val="1158464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58465304"/>
        <c:crosses val="autoZero"/>
        <c:auto val="1"/>
        <c:lblAlgn val="ctr"/>
        <c:lblOffset val="100"/>
        <c:noMultiLvlLbl val="0"/>
      </c:catAx>
      <c:valAx>
        <c:axId val="1158465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5846458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'Daily Stocks Performance'!$O$2</c:f>
              <c:strCache>
                <c:ptCount val="1"/>
                <c:pt idx="0">
                  <c:v>Return STVR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'Daily Stocks Performance'!$M$3:$M$13</c:f>
              <c:strCache>
                <c:ptCount val="11"/>
                <c:pt idx="0">
                  <c:v>Dec 31, 2024</c:v>
                </c:pt>
                <c:pt idx="1">
                  <c:v>Dec 30, 2024</c:v>
                </c:pt>
                <c:pt idx="2">
                  <c:v>Dec 27, 2024</c:v>
                </c:pt>
                <c:pt idx="3">
                  <c:v>Dec 26, 2024</c:v>
                </c:pt>
                <c:pt idx="4">
                  <c:v>Dec 25, 2024</c:v>
                </c:pt>
                <c:pt idx="5">
                  <c:v>Dec 24, 2024</c:v>
                </c:pt>
                <c:pt idx="6">
                  <c:v>Dec 23, 2024</c:v>
                </c:pt>
                <c:pt idx="7">
                  <c:v>Dec 20, 2024</c:v>
                </c:pt>
                <c:pt idx="8">
                  <c:v>Dec 19, 2024</c:v>
                </c:pt>
                <c:pt idx="9">
                  <c:v>Dec 18, 2024</c:v>
                </c:pt>
                <c:pt idx="10">
                  <c:v>Dec 16, 2024</c:v>
                </c:pt>
              </c:strCache>
            </c:strRef>
          </c:cat>
          <c:val>
            <c:numRef>
              <c:f>'Daily Stocks Performance'!$O$3:$O$13</c:f>
              <c:numCache>
                <c:formatCode>0.00%</c:formatCode>
                <c:ptCount val="11"/>
                <c:pt idx="0">
                  <c:v>-1.48437500000001E-2</c:v>
                </c:pt>
                <c:pt idx="1">
                  <c:v>-7.812500000000111E-3</c:v>
                </c:pt>
                <c:pt idx="2">
                  <c:v>-1.1718750000000028E-2</c:v>
                </c:pt>
                <c:pt idx="3">
                  <c:v>-1.5625000000000083E-2</c:v>
                </c:pt>
                <c:pt idx="4">
                  <c:v>-1.1718750000000028E-2</c:v>
                </c:pt>
                <c:pt idx="5">
                  <c:v>-1.1718750000000028E-2</c:v>
                </c:pt>
                <c:pt idx="6">
                  <c:v>-6.2500000000000056E-3</c:v>
                </c:pt>
                <c:pt idx="7">
                  <c:v>-1.2500000000000011E-2</c:v>
                </c:pt>
                <c:pt idx="8">
                  <c:v>2.34374999999995E-3</c:v>
                </c:pt>
                <c:pt idx="9">
                  <c:v>3.1249999999999334E-3</c:v>
                </c:pt>
                <c:pt idx="10">
                  <c:v>0</c:v>
                </c:pt>
              </c:numCache>
            </c:numRef>
          </c:val>
          <c:smooth val="0"/>
          <c:extLst>
            <c:ext xmlns:c16="http://schemas.microsoft.com/office/drawing/2014/chart" uri="{C3380CC4-5D6E-409C-BE32-E72D297353CC}">
              <c16:uniqueId val="{00000000-B9BF-4B16-B79A-2C083DBC759D}"/>
            </c:ext>
          </c:extLst>
        </c:ser>
        <c:dLbls>
          <c:showLegendKey val="0"/>
          <c:showVal val="0"/>
          <c:showCatName val="0"/>
          <c:showSerName val="0"/>
          <c:showPercent val="0"/>
          <c:showBubbleSize val="0"/>
        </c:dLbls>
        <c:marker val="1"/>
        <c:smooth val="0"/>
        <c:axId val="928571440"/>
        <c:axId val="928569640"/>
      </c:lineChart>
      <c:catAx>
        <c:axId val="92857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28569640"/>
        <c:crosses val="autoZero"/>
        <c:auto val="1"/>
        <c:lblAlgn val="ctr"/>
        <c:lblOffset val="100"/>
        <c:noMultiLvlLbl val="0"/>
      </c:catAx>
      <c:valAx>
        <c:axId val="9285696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285714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'Daily Stocks Performance'!$S$2</c:f>
              <c:strCache>
                <c:ptCount val="1"/>
                <c:pt idx="0">
                  <c:v>Return MGR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'Daily Stocks Performance'!$Q$3:$Q$13</c:f>
              <c:strCache>
                <c:ptCount val="11"/>
                <c:pt idx="0">
                  <c:v>Dec 31, 2024</c:v>
                </c:pt>
                <c:pt idx="1">
                  <c:v>Dec 30, 2024</c:v>
                </c:pt>
                <c:pt idx="2">
                  <c:v>Dec 27, 2024</c:v>
                </c:pt>
                <c:pt idx="3">
                  <c:v>Dec 26, 2024</c:v>
                </c:pt>
                <c:pt idx="4">
                  <c:v>Dec 25 2024</c:v>
                </c:pt>
                <c:pt idx="5">
                  <c:v>Dec 24, 2024</c:v>
                </c:pt>
                <c:pt idx="6">
                  <c:v>Dec 23 2024</c:v>
                </c:pt>
                <c:pt idx="7">
                  <c:v>Dec 20, 2024</c:v>
                </c:pt>
                <c:pt idx="8">
                  <c:v>Dec 19, 2024</c:v>
                </c:pt>
                <c:pt idx="9">
                  <c:v>Dec 18, 2024</c:v>
                </c:pt>
                <c:pt idx="10">
                  <c:v>Dec 16, 2024</c:v>
                </c:pt>
              </c:strCache>
            </c:strRef>
          </c:cat>
          <c:val>
            <c:numRef>
              <c:f>'Daily Stocks Performance'!$S$3:$S$13</c:f>
              <c:numCache>
                <c:formatCode>0.00%</c:formatCode>
                <c:ptCount val="11"/>
                <c:pt idx="0">
                  <c:v>-3.6979969183359045E-2</c:v>
                </c:pt>
                <c:pt idx="1">
                  <c:v>-6.1633281972265077E-3</c:v>
                </c:pt>
                <c:pt idx="2">
                  <c:v>-2.6194144838212623E-2</c:v>
                </c:pt>
                <c:pt idx="3">
                  <c:v>-2.7734976887519351E-2</c:v>
                </c:pt>
                <c:pt idx="4">
                  <c:v>-2.7734976887519351E-2</c:v>
                </c:pt>
                <c:pt idx="5">
                  <c:v>-2.7734976887519351E-2</c:v>
                </c:pt>
                <c:pt idx="6">
                  <c:v>-2.7734976887519351E-2</c:v>
                </c:pt>
                <c:pt idx="7">
                  <c:v>-2.7734976887519351E-2</c:v>
                </c:pt>
                <c:pt idx="8">
                  <c:v>-2.7734976887519351E-2</c:v>
                </c:pt>
                <c:pt idx="9">
                  <c:v>-2.7734976887519351E-2</c:v>
                </c:pt>
                <c:pt idx="10">
                  <c:v>-2.6194144838212623E-2</c:v>
                </c:pt>
              </c:numCache>
            </c:numRef>
          </c:val>
          <c:smooth val="0"/>
          <c:extLst>
            <c:ext xmlns:c16="http://schemas.microsoft.com/office/drawing/2014/chart" uri="{C3380CC4-5D6E-409C-BE32-E72D297353CC}">
              <c16:uniqueId val="{00000000-CFD5-45EE-9FD1-30946EA8CB9B}"/>
            </c:ext>
          </c:extLst>
        </c:ser>
        <c:dLbls>
          <c:showLegendKey val="0"/>
          <c:showVal val="0"/>
          <c:showCatName val="0"/>
          <c:showSerName val="0"/>
          <c:showPercent val="0"/>
          <c:showBubbleSize val="0"/>
        </c:dLbls>
        <c:marker val="1"/>
        <c:smooth val="0"/>
        <c:axId val="1253166632"/>
        <c:axId val="1253159072"/>
      </c:lineChart>
      <c:catAx>
        <c:axId val="1253166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53159072"/>
        <c:crosses val="autoZero"/>
        <c:auto val="1"/>
        <c:lblAlgn val="ctr"/>
        <c:lblOffset val="100"/>
        <c:noMultiLvlLbl val="0"/>
      </c:catAx>
      <c:valAx>
        <c:axId val="12531590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531666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'Daily Stocks Performance'!$W$2</c:f>
              <c:strCache>
                <c:ptCount val="1"/>
                <c:pt idx="0">
                  <c:v>Return MPBS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'Daily Stocks Performance'!$U$3:$U$13</c:f>
              <c:strCache>
                <c:ptCount val="11"/>
                <c:pt idx="0">
                  <c:v>Dec 31, 2024</c:v>
                </c:pt>
                <c:pt idx="1">
                  <c:v>Dec 30, 2024</c:v>
                </c:pt>
                <c:pt idx="2">
                  <c:v>Dec 27, 2024</c:v>
                </c:pt>
                <c:pt idx="3">
                  <c:v>Dec 26, 2024</c:v>
                </c:pt>
                <c:pt idx="4">
                  <c:v>Dec 25, 2024</c:v>
                </c:pt>
                <c:pt idx="5">
                  <c:v>Dec 24 2024</c:v>
                </c:pt>
                <c:pt idx="6">
                  <c:v>Dec 23, 2024</c:v>
                </c:pt>
                <c:pt idx="7">
                  <c:v>Dec 20, 2024</c:v>
                </c:pt>
                <c:pt idx="8">
                  <c:v>Dec 19, 2024</c:v>
                </c:pt>
                <c:pt idx="9">
                  <c:v>Dec 18, 2024</c:v>
                </c:pt>
                <c:pt idx="10">
                  <c:v>Dec 16, 2024</c:v>
                </c:pt>
              </c:strCache>
            </c:strRef>
          </c:cat>
          <c:val>
            <c:numRef>
              <c:f>'Daily Stocks Performance'!$W$3:$W$13</c:f>
              <c:numCache>
                <c:formatCode>0.00%</c:formatCode>
                <c:ptCount val="11"/>
                <c:pt idx="0">
                  <c:v>2.7777777777777783E-2</c:v>
                </c:pt>
                <c:pt idx="1">
                  <c:v>3.5353535353535345E-2</c:v>
                </c:pt>
                <c:pt idx="2">
                  <c:v>2.6094276094275986E-2</c:v>
                </c:pt>
                <c:pt idx="3">
                  <c:v>1.5993265993265952E-2</c:v>
                </c:pt>
                <c:pt idx="4">
                  <c:v>-5.8922558922559157E-3</c:v>
                </c:pt>
                <c:pt idx="5">
                  <c:v>1.6835016835016474E-3</c:v>
                </c:pt>
                <c:pt idx="6">
                  <c:v>1.6835016835016474E-3</c:v>
                </c:pt>
                <c:pt idx="7">
                  <c:v>-3.3670033670034445E-3</c:v>
                </c:pt>
                <c:pt idx="8">
                  <c:v>0</c:v>
                </c:pt>
                <c:pt idx="9">
                  <c:v>-1.5151515151515277E-2</c:v>
                </c:pt>
                <c:pt idx="10">
                  <c:v>0</c:v>
                </c:pt>
              </c:numCache>
            </c:numRef>
          </c:val>
          <c:smooth val="0"/>
          <c:extLst>
            <c:ext xmlns:c16="http://schemas.microsoft.com/office/drawing/2014/chart" uri="{C3380CC4-5D6E-409C-BE32-E72D297353CC}">
              <c16:uniqueId val="{00000000-0DC2-4D9F-93DE-48D08909CF99}"/>
            </c:ext>
          </c:extLst>
        </c:ser>
        <c:dLbls>
          <c:showLegendKey val="0"/>
          <c:showVal val="0"/>
          <c:showCatName val="0"/>
          <c:showSerName val="0"/>
          <c:showPercent val="0"/>
          <c:showBubbleSize val="0"/>
        </c:dLbls>
        <c:marker val="1"/>
        <c:smooth val="0"/>
        <c:axId val="1253181032"/>
        <c:axId val="1253172752"/>
      </c:lineChart>
      <c:catAx>
        <c:axId val="1253181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53172752"/>
        <c:crosses val="autoZero"/>
        <c:auto val="1"/>
        <c:lblAlgn val="ctr"/>
        <c:lblOffset val="100"/>
        <c:noMultiLvlLbl val="0"/>
      </c:catAx>
      <c:valAx>
        <c:axId val="1253172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531810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ARTES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'Daily Stocks Performance'!$AA$2</c:f>
              <c:strCache>
                <c:ptCount val="1"/>
                <c:pt idx="0">
                  <c:v>Return ARTES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'Daily Stocks Performance'!$Y$3:$Y$13</c:f>
              <c:strCache>
                <c:ptCount val="11"/>
                <c:pt idx="0">
                  <c:v>Dec 31, 2024</c:v>
                </c:pt>
                <c:pt idx="1">
                  <c:v>Dec 30, 2024</c:v>
                </c:pt>
                <c:pt idx="2">
                  <c:v>Dec 27, 2024</c:v>
                </c:pt>
                <c:pt idx="3">
                  <c:v>Dec 26, 2024</c:v>
                </c:pt>
                <c:pt idx="4">
                  <c:v>Dec 25, 2024</c:v>
                </c:pt>
                <c:pt idx="5">
                  <c:v>Dec 24, 2024</c:v>
                </c:pt>
                <c:pt idx="6">
                  <c:v>Dec 23, 2024</c:v>
                </c:pt>
                <c:pt idx="7">
                  <c:v>Dec 20, 2024</c:v>
                </c:pt>
                <c:pt idx="8">
                  <c:v>Dec 19, 2024</c:v>
                </c:pt>
                <c:pt idx="9">
                  <c:v>Dec 18, 2024</c:v>
                </c:pt>
                <c:pt idx="10">
                  <c:v>Dec 16, 2024</c:v>
                </c:pt>
              </c:strCache>
            </c:strRef>
          </c:cat>
          <c:val>
            <c:numRef>
              <c:f>'Daily Stocks Performance'!$AA$3:$AA$13</c:f>
              <c:numCache>
                <c:formatCode>0.00%</c:formatCode>
                <c:ptCount val="11"/>
                <c:pt idx="0">
                  <c:v>2.4999999999999911E-2</c:v>
                </c:pt>
                <c:pt idx="1">
                  <c:v>1.2499999999999734E-3</c:v>
                </c:pt>
                <c:pt idx="2">
                  <c:v>0</c:v>
                </c:pt>
                <c:pt idx="3">
                  <c:v>0</c:v>
                </c:pt>
                <c:pt idx="4">
                  <c:v>-2.4999999999999467E-3</c:v>
                </c:pt>
                <c:pt idx="5">
                  <c:v>6.2500000000000888E-3</c:v>
                </c:pt>
                <c:pt idx="6">
                  <c:v>-2.4999999999999467E-3</c:v>
                </c:pt>
                <c:pt idx="7">
                  <c:v>-2.4999999999999467E-3</c:v>
                </c:pt>
                <c:pt idx="8">
                  <c:v>-2.4999999999999467E-3</c:v>
                </c:pt>
                <c:pt idx="9">
                  <c:v>-1.2499999999999956E-2</c:v>
                </c:pt>
                <c:pt idx="10">
                  <c:v>-1.2499999999999956E-2</c:v>
                </c:pt>
              </c:numCache>
            </c:numRef>
          </c:val>
          <c:smooth val="0"/>
          <c:extLst>
            <c:ext xmlns:c16="http://schemas.microsoft.com/office/drawing/2014/chart" uri="{C3380CC4-5D6E-409C-BE32-E72D297353CC}">
              <c16:uniqueId val="{00000000-E7D4-4911-B09F-F027BC6DCB74}"/>
            </c:ext>
          </c:extLst>
        </c:ser>
        <c:dLbls>
          <c:showLegendKey val="0"/>
          <c:showVal val="0"/>
          <c:showCatName val="0"/>
          <c:showSerName val="0"/>
          <c:showPercent val="0"/>
          <c:showBubbleSize val="0"/>
        </c:dLbls>
        <c:marker val="1"/>
        <c:smooth val="0"/>
        <c:axId val="1219809560"/>
        <c:axId val="1219811360"/>
      </c:lineChart>
      <c:catAx>
        <c:axId val="1219809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19811360"/>
        <c:crosses val="autoZero"/>
        <c:auto val="1"/>
        <c:lblAlgn val="ctr"/>
        <c:lblOffset val="100"/>
        <c:noMultiLvlLbl val="0"/>
      </c:catAx>
      <c:valAx>
        <c:axId val="1219811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1980956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'Daily Stocks Performance'!$AE$2</c:f>
              <c:strCache>
                <c:ptCount val="1"/>
                <c:pt idx="0">
                  <c:v>Return OTH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'Daily Stocks Performance'!$AC$3:$AC$13</c:f>
              <c:strCache>
                <c:ptCount val="11"/>
                <c:pt idx="0">
                  <c:v>Dec 31, 2024</c:v>
                </c:pt>
                <c:pt idx="1">
                  <c:v>Dec 30, 2024</c:v>
                </c:pt>
                <c:pt idx="2">
                  <c:v>Dec 27, 2024</c:v>
                </c:pt>
                <c:pt idx="3">
                  <c:v>Dec 26, 2024</c:v>
                </c:pt>
                <c:pt idx="4">
                  <c:v>Dec 25, 2024</c:v>
                </c:pt>
                <c:pt idx="5">
                  <c:v>Dec 24, 2024</c:v>
                </c:pt>
                <c:pt idx="6">
                  <c:v>Dec 23, 2024</c:v>
                </c:pt>
                <c:pt idx="7">
                  <c:v>Dec 20, 2024</c:v>
                </c:pt>
                <c:pt idx="8">
                  <c:v>Dec 19, 2024</c:v>
                </c:pt>
                <c:pt idx="9">
                  <c:v>Dec 18, 2024</c:v>
                </c:pt>
                <c:pt idx="10">
                  <c:v>Dec 16, 2024</c:v>
                </c:pt>
              </c:strCache>
            </c:strRef>
          </c:cat>
          <c:val>
            <c:numRef>
              <c:f>'Daily Stocks Performance'!$AE$3:$AE$13</c:f>
              <c:numCache>
                <c:formatCode>0.00%</c:formatCode>
                <c:ptCount val="11"/>
                <c:pt idx="0">
                  <c:v>-1.89E-2</c:v>
                </c:pt>
                <c:pt idx="1">
                  <c:v>-1.89E-2</c:v>
                </c:pt>
                <c:pt idx="2">
                  <c:v>-1.89E-2</c:v>
                </c:pt>
                <c:pt idx="3">
                  <c:v>-1.37E-2</c:v>
                </c:pt>
                <c:pt idx="4">
                  <c:v>-3.0499999999999999E-2</c:v>
                </c:pt>
                <c:pt idx="5">
                  <c:v>-1.89E-2</c:v>
                </c:pt>
                <c:pt idx="6">
                  <c:v>-1.37E-2</c:v>
                </c:pt>
                <c:pt idx="7">
                  <c:v>-5.1999999999999998E-3</c:v>
                </c:pt>
                <c:pt idx="8">
                  <c:v>3.2000000000000002E-3</c:v>
                </c:pt>
                <c:pt idx="9">
                  <c:v>-8.3999999999999995E-3</c:v>
                </c:pt>
                <c:pt idx="10">
                  <c:v>-4.2194092827005196E-3</c:v>
                </c:pt>
              </c:numCache>
            </c:numRef>
          </c:val>
          <c:smooth val="0"/>
          <c:extLst>
            <c:ext xmlns:c16="http://schemas.microsoft.com/office/drawing/2014/chart" uri="{C3380CC4-5D6E-409C-BE32-E72D297353CC}">
              <c16:uniqueId val="{00000000-60D1-4CF7-A67D-8EB137851661}"/>
            </c:ext>
          </c:extLst>
        </c:ser>
        <c:dLbls>
          <c:showLegendKey val="0"/>
          <c:showVal val="0"/>
          <c:showCatName val="0"/>
          <c:showSerName val="0"/>
          <c:showPercent val="0"/>
          <c:showBubbleSize val="0"/>
        </c:dLbls>
        <c:marker val="1"/>
        <c:smooth val="0"/>
        <c:axId val="1192073352"/>
        <c:axId val="1192074792"/>
      </c:lineChart>
      <c:catAx>
        <c:axId val="1192073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92074792"/>
        <c:crosses val="autoZero"/>
        <c:auto val="1"/>
        <c:lblAlgn val="ctr"/>
        <c:lblOffset val="100"/>
        <c:noMultiLvlLbl val="0"/>
      </c:catAx>
      <c:valAx>
        <c:axId val="11920747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9207335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'Daily Stocks Performance'!$AI$2</c:f>
              <c:strCache>
                <c:ptCount val="1"/>
                <c:pt idx="0">
                  <c:v>Return TUNINV</c:v>
                </c:pt>
              </c:strCache>
            </c:strRef>
          </c:tx>
          <c:spPr>
            <a:ln w="28575" cap="rnd">
              <a:solidFill>
                <a:schemeClr val="accent1"/>
              </a:solidFill>
              <a:round/>
            </a:ln>
            <a:effectLst/>
          </c:spPr>
          <c:marker>
            <c:symbol val="none"/>
          </c:marker>
          <c:cat>
            <c:strRef>
              <c:f>'Daily Stocks Performance'!$AG$3:$AG$13</c:f>
              <c:strCache>
                <c:ptCount val="11"/>
                <c:pt idx="0">
                  <c:v>Dec 31, 2024</c:v>
                </c:pt>
                <c:pt idx="1">
                  <c:v>Dec 30, 2024</c:v>
                </c:pt>
                <c:pt idx="2">
                  <c:v>Dec 27, 2024</c:v>
                </c:pt>
                <c:pt idx="3">
                  <c:v>Dec 26, 2024</c:v>
                </c:pt>
                <c:pt idx="4">
                  <c:v>Dec 25, 2024</c:v>
                </c:pt>
                <c:pt idx="5">
                  <c:v>Dec 24, 2024</c:v>
                </c:pt>
                <c:pt idx="6">
                  <c:v>Dec 23, 2024</c:v>
                </c:pt>
                <c:pt idx="7">
                  <c:v>Dec 20, 2024</c:v>
                </c:pt>
                <c:pt idx="8">
                  <c:v>Dec 19, 2024</c:v>
                </c:pt>
                <c:pt idx="9">
                  <c:v>Dec 18, 2024</c:v>
                </c:pt>
                <c:pt idx="10">
                  <c:v>Dec 16, 2024</c:v>
                </c:pt>
              </c:strCache>
            </c:strRef>
          </c:cat>
          <c:val>
            <c:numRef>
              <c:f>'Daily Stocks Performance'!$AI$3:$AI$13</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54A1-4415-BF75-BD5F894B530F}"/>
            </c:ext>
          </c:extLst>
        </c:ser>
        <c:dLbls>
          <c:showLegendKey val="0"/>
          <c:showVal val="0"/>
          <c:showCatName val="0"/>
          <c:showSerName val="0"/>
          <c:showPercent val="0"/>
          <c:showBubbleSize val="0"/>
        </c:dLbls>
        <c:smooth val="0"/>
        <c:axId val="1253189672"/>
        <c:axId val="1253182832"/>
      </c:lineChart>
      <c:catAx>
        <c:axId val="1253189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53182832"/>
        <c:crosses val="autoZero"/>
        <c:auto val="1"/>
        <c:lblAlgn val="ctr"/>
        <c:lblOffset val="100"/>
        <c:noMultiLvlLbl val="0"/>
      </c:catAx>
      <c:valAx>
        <c:axId val="12531828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5318967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5">
  <a:schemeClr val="accent2"/>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5">
  <a:schemeClr val="accent2"/>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5">
  <a:schemeClr val="accent2"/>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png"/><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 Id="rId9"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editAs="oneCell">
    <xdr:from>
      <xdr:col>10</xdr:col>
      <xdr:colOff>441960</xdr:colOff>
      <xdr:row>15</xdr:row>
      <xdr:rowOff>205740</xdr:rowOff>
    </xdr:from>
    <xdr:to>
      <xdr:col>12</xdr:col>
      <xdr:colOff>228600</xdr:colOff>
      <xdr:row>21</xdr:row>
      <xdr:rowOff>68580</xdr:rowOff>
    </xdr:to>
    <xdr:pic>
      <xdr:nvPicPr>
        <xdr:cNvPr id="2" name="Picture 1" descr="TBS-logo - ISACA Tunisie">
          <a:extLst>
            <a:ext uri="{FF2B5EF4-FFF2-40B4-BE49-F238E27FC236}">
              <a16:creationId xmlns:a16="http://schemas.microsoft.com/office/drawing/2014/main" id="{0349C364-9409-4CA0-B5F8-646108E57E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37960" y="3261360"/>
          <a:ext cx="1005840" cy="1005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75595</xdr:rowOff>
    </xdr:from>
    <xdr:to>
      <xdr:col>9</xdr:col>
      <xdr:colOff>0</xdr:colOff>
      <xdr:row>23</xdr:row>
      <xdr:rowOff>151795</xdr:rowOff>
    </xdr:to>
    <xdr:graphicFrame macro="">
      <xdr:nvGraphicFramePr>
        <xdr:cNvPr id="2" name="Chart 1">
          <a:extLst>
            <a:ext uri="{FF2B5EF4-FFF2-40B4-BE49-F238E27FC236}">
              <a16:creationId xmlns:a16="http://schemas.microsoft.com/office/drawing/2014/main" id="{7C3CE725-E12C-4801-9B9D-E3C5B62F7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9525</xdr:colOff>
      <xdr:row>7</xdr:row>
      <xdr:rowOff>76200</xdr:rowOff>
    </xdr:from>
    <xdr:to>
      <xdr:col>20</xdr:col>
      <xdr:colOff>413498</xdr:colOff>
      <xdr:row>23</xdr:row>
      <xdr:rowOff>152400</xdr:rowOff>
    </xdr:to>
    <xdr:graphicFrame macro="">
      <xdr:nvGraphicFramePr>
        <xdr:cNvPr id="4" name="Chart 3">
          <a:extLst>
            <a:ext uri="{FF2B5EF4-FFF2-40B4-BE49-F238E27FC236}">
              <a16:creationId xmlns:a16="http://schemas.microsoft.com/office/drawing/2014/main" id="{4C1FFA40-CD6C-451B-A14D-71A5B37E5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352425</xdr:colOff>
      <xdr:row>7</xdr:row>
      <xdr:rowOff>76200</xdr:rowOff>
    </xdr:from>
    <xdr:to>
      <xdr:col>30</xdr:col>
      <xdr:colOff>371475</xdr:colOff>
      <xdr:row>23</xdr:row>
      <xdr:rowOff>152400</xdr:rowOff>
    </xdr:to>
    <xdr:graphicFrame macro="">
      <xdr:nvGraphicFramePr>
        <xdr:cNvPr id="5" name="Chart 4">
          <a:extLst>
            <a:ext uri="{FF2B5EF4-FFF2-40B4-BE49-F238E27FC236}">
              <a16:creationId xmlns:a16="http://schemas.microsoft.com/office/drawing/2014/main" id="{FC481F9F-4E35-4BE5-A38A-8CD95B8BB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27</xdr:row>
      <xdr:rowOff>181429</xdr:rowOff>
    </xdr:from>
    <xdr:to>
      <xdr:col>14</xdr:col>
      <xdr:colOff>244930</xdr:colOff>
      <xdr:row>53</xdr:row>
      <xdr:rowOff>154516</xdr:rowOff>
    </xdr:to>
    <xdr:graphicFrame macro="">
      <xdr:nvGraphicFramePr>
        <xdr:cNvPr id="7" name="Chart 6">
          <a:extLst>
            <a:ext uri="{FF2B5EF4-FFF2-40B4-BE49-F238E27FC236}">
              <a16:creationId xmlns:a16="http://schemas.microsoft.com/office/drawing/2014/main" id="{8029F1EC-8038-4C94-AB6A-90ED40A0D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619881</xdr:colOff>
      <xdr:row>33</xdr:row>
      <xdr:rowOff>105831</xdr:rowOff>
    </xdr:from>
    <xdr:to>
      <xdr:col>26</xdr:col>
      <xdr:colOff>362857</xdr:colOff>
      <xdr:row>53</xdr:row>
      <xdr:rowOff>151189</xdr:rowOff>
    </xdr:to>
    <xdr:graphicFrame macro="">
      <xdr:nvGraphicFramePr>
        <xdr:cNvPr id="8" name="Chart 7">
          <a:extLst>
            <a:ext uri="{FF2B5EF4-FFF2-40B4-BE49-F238E27FC236}">
              <a16:creationId xmlns:a16="http://schemas.microsoft.com/office/drawing/2014/main" id="{CF3FF8A1-3954-4D9A-92DE-71BCBB497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604762</xdr:colOff>
      <xdr:row>28</xdr:row>
      <xdr:rowOff>30239</xdr:rowOff>
    </xdr:from>
    <xdr:to>
      <xdr:col>26</xdr:col>
      <xdr:colOff>362857</xdr:colOff>
      <xdr:row>33</xdr:row>
      <xdr:rowOff>75597</xdr:rowOff>
    </xdr:to>
    <xdr:sp macro="" textlink="">
      <xdr:nvSpPr>
        <xdr:cNvPr id="9" name="TextBox 8">
          <a:extLst>
            <a:ext uri="{FF2B5EF4-FFF2-40B4-BE49-F238E27FC236}">
              <a16:creationId xmlns:a16="http://schemas.microsoft.com/office/drawing/2014/main" id="{D2308438-E8FF-4D01-9FE1-8E09E80AD88F}"/>
            </a:ext>
          </a:extLst>
        </xdr:cNvPr>
        <xdr:cNvSpPr txBox="1"/>
      </xdr:nvSpPr>
      <xdr:spPr>
        <a:xfrm>
          <a:off x="9071429" y="7136191"/>
          <a:ext cx="7756071" cy="102809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Despite fluctuations throughout December 2024, with a dip from 277.480 to 275.400 and a recovery back up to 277.820 by December 31st, our portfolio demonstrated strong resilience. It weathered short-term declines and ultimately bounced back, highlighting the power of staying the course during market volatility and the long-term growth potential of well-managed assets.</a:t>
          </a:r>
        </a:p>
        <a:p>
          <a:endParaRPr lang="en-US" sz="1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281940</xdr:colOff>
      <xdr:row>34</xdr:row>
      <xdr:rowOff>80010</xdr:rowOff>
    </xdr:from>
    <xdr:to>
      <xdr:col>4</xdr:col>
      <xdr:colOff>60960</xdr:colOff>
      <xdr:row>50</xdr:row>
      <xdr:rowOff>160020</xdr:rowOff>
    </xdr:to>
    <xdr:graphicFrame macro="">
      <xdr:nvGraphicFramePr>
        <xdr:cNvPr id="2" name="Chart 1">
          <a:extLst>
            <a:ext uri="{FF2B5EF4-FFF2-40B4-BE49-F238E27FC236}">
              <a16:creationId xmlns:a16="http://schemas.microsoft.com/office/drawing/2014/main" id="{3325868A-7436-CF1D-D8F0-E9378C13D1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541020</xdr:colOff>
      <xdr:row>34</xdr:row>
      <xdr:rowOff>72390</xdr:rowOff>
    </xdr:from>
    <xdr:to>
      <xdr:col>9</xdr:col>
      <xdr:colOff>320040</xdr:colOff>
      <xdr:row>50</xdr:row>
      <xdr:rowOff>152400</xdr:rowOff>
    </xdr:to>
    <xdr:graphicFrame macro="">
      <xdr:nvGraphicFramePr>
        <xdr:cNvPr id="3" name="Chart 2">
          <a:extLst>
            <a:ext uri="{FF2B5EF4-FFF2-40B4-BE49-F238E27FC236}">
              <a16:creationId xmlns:a16="http://schemas.microsoft.com/office/drawing/2014/main" id="{41FBE4AE-4B6C-7B3E-9E4B-D617E18A6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266700</xdr:colOff>
      <xdr:row>52</xdr:row>
      <xdr:rowOff>26670</xdr:rowOff>
    </xdr:from>
    <xdr:to>
      <xdr:col>4</xdr:col>
      <xdr:colOff>68580</xdr:colOff>
      <xdr:row>68</xdr:row>
      <xdr:rowOff>76200</xdr:rowOff>
    </xdr:to>
    <xdr:graphicFrame macro="">
      <xdr:nvGraphicFramePr>
        <xdr:cNvPr id="4" name="Chart 3">
          <a:extLst>
            <a:ext uri="{FF2B5EF4-FFF2-40B4-BE49-F238E27FC236}">
              <a16:creationId xmlns:a16="http://schemas.microsoft.com/office/drawing/2014/main" id="{E66B2DDA-77D7-D39B-BB02-68573EDDC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281940</xdr:colOff>
      <xdr:row>69</xdr:row>
      <xdr:rowOff>171450</xdr:rowOff>
    </xdr:from>
    <xdr:to>
      <xdr:col>4</xdr:col>
      <xdr:colOff>45720</xdr:colOff>
      <xdr:row>86</xdr:row>
      <xdr:rowOff>83820</xdr:rowOff>
    </xdr:to>
    <xdr:graphicFrame macro="">
      <xdr:nvGraphicFramePr>
        <xdr:cNvPr id="5" name="Chart 4">
          <a:extLst>
            <a:ext uri="{FF2B5EF4-FFF2-40B4-BE49-F238E27FC236}">
              <a16:creationId xmlns:a16="http://schemas.microsoft.com/office/drawing/2014/main" id="{7E14DFD7-EFE3-6902-85A6-FA502E890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518160</xdr:colOff>
      <xdr:row>52</xdr:row>
      <xdr:rowOff>26670</xdr:rowOff>
    </xdr:from>
    <xdr:to>
      <xdr:col>9</xdr:col>
      <xdr:colOff>320040</xdr:colOff>
      <xdr:row>68</xdr:row>
      <xdr:rowOff>91440</xdr:rowOff>
    </xdr:to>
    <xdr:graphicFrame macro="">
      <xdr:nvGraphicFramePr>
        <xdr:cNvPr id="6" name="Chart 5">
          <a:extLst>
            <a:ext uri="{FF2B5EF4-FFF2-40B4-BE49-F238E27FC236}">
              <a16:creationId xmlns:a16="http://schemas.microsoft.com/office/drawing/2014/main" id="{7B783C72-D266-D2CD-9D47-CF86AF758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121920</xdr:colOff>
      <xdr:row>21</xdr:row>
      <xdr:rowOff>99060</xdr:rowOff>
    </xdr:from>
    <xdr:to>
      <xdr:col>4</xdr:col>
      <xdr:colOff>266700</xdr:colOff>
      <xdr:row>33</xdr:row>
      <xdr:rowOff>175260</xdr:rowOff>
    </xdr:to>
    <xdr:sp macro="" textlink="">
      <xdr:nvSpPr>
        <xdr:cNvPr id="7" name="TextBox 6">
          <a:extLst>
            <a:ext uri="{FF2B5EF4-FFF2-40B4-BE49-F238E27FC236}">
              <a16:creationId xmlns:a16="http://schemas.microsoft.com/office/drawing/2014/main" id="{DE410F5D-D884-372A-1FF1-BCC07E17B5FA}"/>
            </a:ext>
          </a:extLst>
        </xdr:cNvPr>
        <xdr:cNvSpPr txBox="1"/>
      </xdr:nvSpPr>
      <xdr:spPr>
        <a:xfrm>
          <a:off x="121920" y="4183380"/>
          <a:ext cx="4008120" cy="2278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b="1">
              <a:latin typeface="Times New Roman" panose="02020603050405020304" pitchFamily="18" charset="0"/>
              <a:cs typeface="Times New Roman" panose="02020603050405020304" pitchFamily="18" charset="0"/>
            </a:rPr>
            <a:t>Time-Weighted Analysis:</a:t>
          </a:r>
          <a:r>
            <a:rPr lang="fr-FR" sz="1400">
              <a:latin typeface="Times New Roman" panose="02020603050405020304" pitchFamily="18" charset="0"/>
              <a:cs typeface="Times New Roman" panose="02020603050405020304" pitchFamily="18" charset="0"/>
            </a:rPr>
            <a:t> Time-weighted analysis measures the portfolio's performance independently of cash flows such as contributions or withdrawals. It calculates the geometric average return over sub-periods, reflecting the portfolio manager's performance without the influence of external cash flows. This method is ideal for comparing portfolio performance against benchmarks</a:t>
          </a:r>
          <a:r>
            <a:rPr lang="fr-FR" sz="1400">
              <a:latin typeface="+mj-lt"/>
            </a:rPr>
            <a:t>.</a:t>
          </a:r>
          <a:endParaRPr lang="fr-FR" sz="1400" kern="1200">
            <a:latin typeface="+mj-lt"/>
          </a:endParaRPr>
        </a:p>
      </xdr:txBody>
    </xdr:sp>
    <xdr:clientData/>
  </xdr:twoCellAnchor>
  <xdr:twoCellAnchor>
    <xdr:from>
      <xdr:col>5</xdr:col>
      <xdr:colOff>358140</xdr:colOff>
      <xdr:row>21</xdr:row>
      <xdr:rowOff>83820</xdr:rowOff>
    </xdr:from>
    <xdr:to>
      <xdr:col>9</xdr:col>
      <xdr:colOff>487680</xdr:colOff>
      <xdr:row>33</xdr:row>
      <xdr:rowOff>160020</xdr:rowOff>
    </xdr:to>
    <xdr:sp macro="" textlink="">
      <xdr:nvSpPr>
        <xdr:cNvPr id="8" name="TextBox 7">
          <a:extLst>
            <a:ext uri="{FF2B5EF4-FFF2-40B4-BE49-F238E27FC236}">
              <a16:creationId xmlns:a16="http://schemas.microsoft.com/office/drawing/2014/main" id="{DF87F835-3077-E2E9-1951-3DDA4B247A71}"/>
            </a:ext>
          </a:extLst>
        </xdr:cNvPr>
        <xdr:cNvSpPr txBox="1"/>
      </xdr:nvSpPr>
      <xdr:spPr>
        <a:xfrm>
          <a:off x="5181600" y="4168140"/>
          <a:ext cx="4030980" cy="2278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b="1">
              <a:latin typeface="Times New Roman" panose="02020603050405020304" pitchFamily="18" charset="0"/>
              <a:cs typeface="Times New Roman" panose="02020603050405020304" pitchFamily="18" charset="0"/>
            </a:rPr>
            <a:t>Money-Weighted Analysis:</a:t>
          </a:r>
          <a:r>
            <a:rPr lang="fr-FR" sz="1400">
              <a:latin typeface="Times New Roman" panose="02020603050405020304" pitchFamily="18" charset="0"/>
              <a:cs typeface="Times New Roman" panose="02020603050405020304" pitchFamily="18" charset="0"/>
            </a:rPr>
            <a:t> Money-weighted analysis, also known as the internal rate of return (IRR), accounts for the timing and size of cash flows. It calculates the rate of return that equates the present value of cash inflows and outflows to the portfolio's ending value. Assuming a risk-free rate of 8.6%, we can compare the IRR to evaluate whether the portfolio outperformed risk-free investments, with positive differences indicating added value.</a:t>
          </a:r>
          <a:endParaRPr lang="fr-FR" sz="1400" kern="1200">
            <a:latin typeface="Times New Roman" panose="02020603050405020304" pitchFamily="18" charset="0"/>
            <a:cs typeface="Times New Roman" panose="02020603050405020304" pitchFamily="18" charset="0"/>
          </a:endParaRPr>
        </a:p>
      </xdr:txBody>
    </xdr:sp>
    <xdr:clientData/>
  </xdr:twoCellAnchor>
  <xdr:twoCellAnchor editAs="oneCell">
    <xdr:from>
      <xdr:col>12</xdr:col>
      <xdr:colOff>30480</xdr:colOff>
      <xdr:row>1</xdr:row>
      <xdr:rowOff>83820</xdr:rowOff>
    </xdr:from>
    <xdr:to>
      <xdr:col>24</xdr:col>
      <xdr:colOff>487680</xdr:colOff>
      <xdr:row>11</xdr:row>
      <xdr:rowOff>76200</xdr:rowOff>
    </xdr:to>
    <xdr:pic>
      <xdr:nvPicPr>
        <xdr:cNvPr id="11" name="Picture 10">
          <a:extLst>
            <a:ext uri="{FF2B5EF4-FFF2-40B4-BE49-F238E27FC236}">
              <a16:creationId xmlns:a16="http://schemas.microsoft.com/office/drawing/2014/main" id="{5BDAB138-98FA-7226-7C37-CC9F28DDABDE}"/>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1" b="35337"/>
        <a:stretch/>
      </xdr:blipFill>
      <xdr:spPr>
        <a:xfrm>
          <a:off x="10850880" y="266700"/>
          <a:ext cx="7772400" cy="20497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327660</xdr:colOff>
      <xdr:row>1</xdr:row>
      <xdr:rowOff>7620</xdr:rowOff>
    </xdr:from>
    <xdr:to>
      <xdr:col>7</xdr:col>
      <xdr:colOff>259080</xdr:colOff>
      <xdr:row>14</xdr:row>
      <xdr:rowOff>137160</xdr:rowOff>
    </xdr:to>
    <xdr:graphicFrame macro="">
      <xdr:nvGraphicFramePr>
        <xdr:cNvPr id="2" name="Chart 1">
          <a:extLst>
            <a:ext uri="{FF2B5EF4-FFF2-40B4-BE49-F238E27FC236}">
              <a16:creationId xmlns:a16="http://schemas.microsoft.com/office/drawing/2014/main" id="{C0352754-A65A-4ABA-B59D-7E6A00B2D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304800</xdr:colOff>
      <xdr:row>15</xdr:row>
      <xdr:rowOff>0</xdr:rowOff>
    </xdr:from>
    <xdr:to>
      <xdr:col>7</xdr:col>
      <xdr:colOff>251460</xdr:colOff>
      <xdr:row>24</xdr:row>
      <xdr:rowOff>38100</xdr:rowOff>
    </xdr:to>
    <xdr:sp macro="" textlink="">
      <xdr:nvSpPr>
        <xdr:cNvPr id="3" name="TextBox 2">
          <a:extLst>
            <a:ext uri="{FF2B5EF4-FFF2-40B4-BE49-F238E27FC236}">
              <a16:creationId xmlns:a16="http://schemas.microsoft.com/office/drawing/2014/main" id="{A1ED792C-88BC-EE0B-D5F9-44F3D0D33793}"/>
            </a:ext>
          </a:extLst>
        </xdr:cNvPr>
        <xdr:cNvSpPr txBox="1"/>
      </xdr:nvSpPr>
      <xdr:spPr>
        <a:xfrm>
          <a:off x="304800" y="2743200"/>
          <a:ext cx="4213860" cy="1684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latin typeface="Times New Roman" panose="02020603050405020304" pitchFamily="18" charset="0"/>
              <a:cs typeface="Times New Roman" panose="02020603050405020304" pitchFamily="18" charset="0"/>
            </a:rPr>
            <a:t>Tracking each stock's daily return in your portfolio is crucial for understanding the portfolio's performance and risk dynamics. It helps identify how individual stocks contribute to overall returns and volatility, enabling better decision-making for rebalancing or optimizing the portfolio. Daily return tracking also allows you to monitor market trends, detect anomalies, and respond promptly to changes in stock prices. Moreover, consistent tracking is essential for calculating performance metrics, such as total returns, Sharpe ratio, or beta, and for comparing the portfolio's performance to benchmarks or targets.</a:t>
          </a:r>
          <a:endParaRPr lang="fr-FR" sz="1100" kern="1200">
            <a:latin typeface="Times New Roman" panose="02020603050405020304" pitchFamily="18" charset="0"/>
            <a:cs typeface="Times New Roman" panose="02020603050405020304" pitchFamily="18" charset="0"/>
          </a:endParaRPr>
        </a:p>
      </xdr:txBody>
    </xdr:sp>
    <xdr:clientData/>
  </xdr:twoCellAnchor>
  <xdr:twoCellAnchor>
    <xdr:from>
      <xdr:col>8</xdr:col>
      <xdr:colOff>121920</xdr:colOff>
      <xdr:row>0</xdr:row>
      <xdr:rowOff>167640</xdr:rowOff>
    </xdr:from>
    <xdr:to>
      <xdr:col>15</xdr:col>
      <xdr:colOff>60960</xdr:colOff>
      <xdr:row>14</xdr:row>
      <xdr:rowOff>121920</xdr:rowOff>
    </xdr:to>
    <xdr:graphicFrame macro="">
      <xdr:nvGraphicFramePr>
        <xdr:cNvPr id="4" name="Chart 3">
          <a:extLst>
            <a:ext uri="{FF2B5EF4-FFF2-40B4-BE49-F238E27FC236}">
              <a16:creationId xmlns:a16="http://schemas.microsoft.com/office/drawing/2014/main" id="{D1D0DF48-9335-4A24-ABC8-D6208F260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281940</xdr:colOff>
      <xdr:row>14</xdr:row>
      <xdr:rowOff>160020</xdr:rowOff>
    </xdr:from>
    <xdr:to>
      <xdr:col>14</xdr:col>
      <xdr:colOff>579120</xdr:colOff>
      <xdr:row>23</xdr:row>
      <xdr:rowOff>99060</xdr:rowOff>
    </xdr:to>
    <xdr:sp macro="" textlink="">
      <xdr:nvSpPr>
        <xdr:cNvPr id="5" name="TextBox 4">
          <a:extLst>
            <a:ext uri="{FF2B5EF4-FFF2-40B4-BE49-F238E27FC236}">
              <a16:creationId xmlns:a16="http://schemas.microsoft.com/office/drawing/2014/main" id="{388E3243-8F25-EACE-5394-2DE7EC381495}"/>
            </a:ext>
          </a:extLst>
        </xdr:cNvPr>
        <xdr:cNvSpPr txBox="1"/>
      </xdr:nvSpPr>
      <xdr:spPr>
        <a:xfrm>
          <a:off x="5158740" y="2720340"/>
          <a:ext cx="3954780" cy="1584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a:latin typeface="Times New Roman" panose="02020603050405020304" pitchFamily="18" charset="0"/>
              <a:cs typeface="Times New Roman" panose="02020603050405020304" pitchFamily="18" charset="0"/>
            </a:rPr>
            <a:t>Tracking the daily return of your portfolio is important to monitor its performance, assess risk, and identify trends or anomalies. It provides insights into how market movements affect your portfolio, enabling timely adjustments to maintain alignment with your investment goals. Daily tracking also facilitates accurate calculation of cumulative returns, performance metrics, and comparisons with benchmarks. This information is vital for evaluating portfolio management strategies and ensuring consistent progress toward achieving your financial objectives.</a:t>
          </a:r>
          <a:endParaRPr lang="fr-FR" sz="1100" kern="1200">
            <a:latin typeface="Times New Roman" panose="02020603050405020304" pitchFamily="18" charset="0"/>
            <a:cs typeface="Times New Roman" panose="02020603050405020304" pitchFamily="18" charset="0"/>
          </a:endParaRPr>
        </a:p>
      </xdr:txBody>
    </xdr:sp>
    <xdr:clientData/>
  </xdr:twoCellAnchor>
  <xdr:twoCellAnchor>
    <xdr:from>
      <xdr:col>16</xdr:col>
      <xdr:colOff>45720</xdr:colOff>
      <xdr:row>1</xdr:row>
      <xdr:rowOff>30480</xdr:rowOff>
    </xdr:from>
    <xdr:to>
      <xdr:col>22</xdr:col>
      <xdr:colOff>487680</xdr:colOff>
      <xdr:row>14</xdr:row>
      <xdr:rowOff>0</xdr:rowOff>
    </xdr:to>
    <xdr:graphicFrame macro="">
      <xdr:nvGraphicFramePr>
        <xdr:cNvPr id="6" name="Chart 5">
          <a:extLst>
            <a:ext uri="{FF2B5EF4-FFF2-40B4-BE49-F238E27FC236}">
              <a16:creationId xmlns:a16="http://schemas.microsoft.com/office/drawing/2014/main" id="{3CD11086-9F24-40F6-AA3D-1CADAA608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213360</xdr:colOff>
      <xdr:row>14</xdr:row>
      <xdr:rowOff>129540</xdr:rowOff>
    </xdr:from>
    <xdr:to>
      <xdr:col>23</xdr:col>
      <xdr:colOff>129540</xdr:colOff>
      <xdr:row>24</xdr:row>
      <xdr:rowOff>106680</xdr:rowOff>
    </xdr:to>
    <xdr:sp macro="" textlink="">
      <xdr:nvSpPr>
        <xdr:cNvPr id="7" name="TextBox 6">
          <a:extLst>
            <a:ext uri="{FF2B5EF4-FFF2-40B4-BE49-F238E27FC236}">
              <a16:creationId xmlns:a16="http://schemas.microsoft.com/office/drawing/2014/main" id="{394B950E-BA1B-2379-0C8A-E32811FCC46C}"/>
            </a:ext>
          </a:extLst>
        </xdr:cNvPr>
        <xdr:cNvSpPr txBox="1"/>
      </xdr:nvSpPr>
      <xdr:spPr>
        <a:xfrm>
          <a:off x="9966960" y="2689860"/>
          <a:ext cx="4183380" cy="1805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a:latin typeface="Times New Roman" panose="02020603050405020304" pitchFamily="18" charset="0"/>
              <a:cs typeface="Times New Roman" panose="02020603050405020304" pitchFamily="18" charset="0"/>
            </a:rPr>
            <a:t>Tracking your daily available amount to invest is essential for effective cash flow management and ensuring liquidity to seize investment opportunities. It prevents over-investing, which could lead to insufficient funds for other needs or missed opportunities during market dips. Keeping a certain fixed amount as a reserve offers advantages like reducing the risk of forced asset liquidation during emergencies, ensuring financial stability, and maintaining the flexibility to adapt to market fluctuations or unexpected expenses. This approach balances growth potential with financial security.</a:t>
          </a:r>
          <a:endParaRPr lang="fr-FR" sz="1100" kern="1200">
            <a:latin typeface="Times New Roman" panose="02020603050405020304" pitchFamily="18" charset="0"/>
            <a:cs typeface="Times New Roman" panose="020206030504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480060</xdr:colOff>
      <xdr:row>2</xdr:row>
      <xdr:rowOff>30480</xdr:rowOff>
    </xdr:from>
    <xdr:to>
      <xdr:col>18</xdr:col>
      <xdr:colOff>403860</xdr:colOff>
      <xdr:row>9</xdr:row>
      <xdr:rowOff>129540</xdr:rowOff>
    </xdr:to>
    <xdr:sp macro="" textlink="">
      <xdr:nvSpPr>
        <xdr:cNvPr id="2" name="TextBox 1">
          <a:extLst>
            <a:ext uri="{FF2B5EF4-FFF2-40B4-BE49-F238E27FC236}">
              <a16:creationId xmlns:a16="http://schemas.microsoft.com/office/drawing/2014/main" id="{9D07622E-F275-209B-0747-2FBA225F3826}"/>
            </a:ext>
          </a:extLst>
        </xdr:cNvPr>
        <xdr:cNvSpPr txBox="1"/>
      </xdr:nvSpPr>
      <xdr:spPr>
        <a:xfrm>
          <a:off x="6393180" y="441960"/>
          <a:ext cx="6019800" cy="14020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latin typeface="Times New Roman" panose="02020603050405020304" pitchFamily="18" charset="0"/>
              <a:cs typeface="Times New Roman" panose="02020603050405020304" pitchFamily="18" charset="0"/>
            </a:rPr>
            <a:t>The Sharpe ratio measures the portfolio's risk-adjusted return by comparing the excess return (over the risk-free rate) to the total risk, represented by standard deviation. It helps investors understand whether the returns are sufficient to justify the risks taken.</a:t>
          </a:r>
        </a:p>
        <a:p>
          <a:r>
            <a:rPr lang="fr-FR" sz="1200">
              <a:latin typeface="Times New Roman" panose="02020603050405020304" pitchFamily="18" charset="0"/>
              <a:cs typeface="Times New Roman" panose="02020603050405020304" pitchFamily="18" charset="0"/>
            </a:rPr>
            <a:t>In our portfolio, the Sharpe ratio is </a:t>
          </a:r>
          <a:r>
            <a:rPr lang="fr-FR" sz="1200" b="1">
              <a:latin typeface="Times New Roman" panose="02020603050405020304" pitchFamily="18" charset="0"/>
              <a:cs typeface="Times New Roman" panose="02020603050405020304" pitchFamily="18" charset="0"/>
            </a:rPr>
            <a:t>-1.04</a:t>
          </a:r>
          <a:r>
            <a:rPr lang="fr-FR" sz="1200">
              <a:latin typeface="Times New Roman" panose="02020603050405020304" pitchFamily="18" charset="0"/>
              <a:cs typeface="Times New Roman" panose="02020603050405020304" pitchFamily="18" charset="0"/>
            </a:rPr>
            <a:t>, which is considered "Bad." A negative Sharpe ratio indicates that the portfolio underperformed the risk-free rate after accounting for risk. This suggests that the portfolio's return does not compensate for the level of risk undertaken, highlighting the need for adjustments to improve performance or reduce risk</a:t>
          </a:r>
          <a:r>
            <a:rPr lang="fr-FR"/>
            <a:t>.</a:t>
          </a:r>
        </a:p>
        <a:p>
          <a:endParaRPr lang="fr-FR" sz="1100" kern="1200"/>
        </a:p>
      </xdr:txBody>
    </xdr:sp>
    <xdr:clientData/>
  </xdr:twoCellAnchor>
  <xdr:twoCellAnchor>
    <xdr:from>
      <xdr:col>8</xdr:col>
      <xdr:colOff>434340</xdr:colOff>
      <xdr:row>12</xdr:row>
      <xdr:rowOff>91440</xdr:rowOff>
    </xdr:from>
    <xdr:to>
      <xdr:col>18</xdr:col>
      <xdr:colOff>541020</xdr:colOff>
      <xdr:row>19</xdr:row>
      <xdr:rowOff>121920</xdr:rowOff>
    </xdr:to>
    <xdr:sp macro="" textlink="">
      <xdr:nvSpPr>
        <xdr:cNvPr id="3" name="TextBox 2">
          <a:extLst>
            <a:ext uri="{FF2B5EF4-FFF2-40B4-BE49-F238E27FC236}">
              <a16:creationId xmlns:a16="http://schemas.microsoft.com/office/drawing/2014/main" id="{B61C7FD6-9F1F-D55C-F215-A9FDC12C1570}"/>
            </a:ext>
          </a:extLst>
        </xdr:cNvPr>
        <xdr:cNvSpPr txBox="1"/>
      </xdr:nvSpPr>
      <xdr:spPr>
        <a:xfrm>
          <a:off x="6347460" y="2423160"/>
          <a:ext cx="6202680" cy="1333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latin typeface="Times New Roman" panose="02020603050405020304" pitchFamily="18" charset="0"/>
              <a:cs typeface="Times New Roman" panose="02020603050405020304" pitchFamily="18" charset="0"/>
            </a:rPr>
            <a:t>The Sortino ratio focuses on downside risk by isolating negative volatility rather than total risk, providing a more nuanced view of portfolio performance. It is particularly useful for investors who are more concerned with avoiding losses rather than fluctuations overall.</a:t>
          </a:r>
        </a:p>
        <a:p>
          <a:r>
            <a:rPr lang="fr-FR" sz="1200">
              <a:latin typeface="Times New Roman" panose="02020603050405020304" pitchFamily="18" charset="0"/>
              <a:cs typeface="Times New Roman" panose="02020603050405020304" pitchFamily="18" charset="0"/>
            </a:rPr>
            <a:t>Our portfolio’s Sortino ratio is </a:t>
          </a:r>
          <a:r>
            <a:rPr lang="fr-FR" sz="1200" b="1">
              <a:latin typeface="Times New Roman" panose="02020603050405020304" pitchFamily="18" charset="0"/>
              <a:cs typeface="Times New Roman" panose="02020603050405020304" pitchFamily="18" charset="0"/>
            </a:rPr>
            <a:t>-1.897</a:t>
          </a:r>
          <a:r>
            <a:rPr lang="fr-FR" sz="1200">
              <a:latin typeface="Times New Roman" panose="02020603050405020304" pitchFamily="18" charset="0"/>
              <a:cs typeface="Times New Roman" panose="02020603050405020304" pitchFamily="18" charset="0"/>
            </a:rPr>
            <a:t>, also in the "Bad" range. This negative value suggests that the portfolio not only underperformed the risk-free rate but did so with significant downside risk. This indicates poor risk-adjusted performance when accounting for losses, emphasizing the need for strategies to reduce downside exposure.</a:t>
          </a:r>
        </a:p>
        <a:p>
          <a:endParaRPr lang="fr-FR" sz="1100" kern="1200"/>
        </a:p>
      </xdr:txBody>
    </xdr:sp>
    <xdr:clientData/>
  </xdr:twoCellAnchor>
  <xdr:twoCellAnchor>
    <xdr:from>
      <xdr:col>8</xdr:col>
      <xdr:colOff>434340</xdr:colOff>
      <xdr:row>23</xdr:row>
      <xdr:rowOff>160020</xdr:rowOff>
    </xdr:from>
    <xdr:to>
      <xdr:col>19</xdr:col>
      <xdr:colOff>281940</xdr:colOff>
      <xdr:row>32</xdr:row>
      <xdr:rowOff>15240</xdr:rowOff>
    </xdr:to>
    <xdr:sp macro="" textlink="">
      <xdr:nvSpPr>
        <xdr:cNvPr id="4" name="TextBox 3">
          <a:extLst>
            <a:ext uri="{FF2B5EF4-FFF2-40B4-BE49-F238E27FC236}">
              <a16:creationId xmlns:a16="http://schemas.microsoft.com/office/drawing/2014/main" id="{74F40512-1A69-D6C7-396C-66F52441FD21}"/>
            </a:ext>
          </a:extLst>
        </xdr:cNvPr>
        <xdr:cNvSpPr txBox="1"/>
      </xdr:nvSpPr>
      <xdr:spPr>
        <a:xfrm>
          <a:off x="6347460" y="4587240"/>
          <a:ext cx="6553200" cy="1546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a:t>Beta measures the sensitivity of the portfolio's returns to movements in the broader market. A beta of 1 indicates the portfolio moves in line with the market, while a beta less than 1 suggests lower volatility and risk relative to the market.</a:t>
          </a:r>
        </a:p>
        <a:p>
          <a:r>
            <a:rPr lang="fr-FR" sz="1200"/>
            <a:t>The portfolio's beta is </a:t>
          </a:r>
          <a:r>
            <a:rPr lang="fr-FR" sz="1200" b="1"/>
            <a:t>0.118</a:t>
          </a:r>
          <a:r>
            <a:rPr lang="fr-FR" sz="1200"/>
            <a:t>, indicating very low sensitivity to market movements. This suggests the portfolio is relatively insulated from market volatility. However, while this low beta reduces exposure to market risk, it may also limit potential gains during bullish market conditions. Balancing market sensitivity with performance goals could enhance future results.</a:t>
          </a:r>
        </a:p>
        <a:p>
          <a:endParaRPr lang="fr-FR" sz="1100" kern="12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14</xdr:row>
      <xdr:rowOff>57150</xdr:rowOff>
    </xdr:from>
    <xdr:to>
      <xdr:col>2</xdr:col>
      <xdr:colOff>563880</xdr:colOff>
      <xdr:row>29</xdr:row>
      <xdr:rowOff>205740</xdr:rowOff>
    </xdr:to>
    <xdr:graphicFrame macro="">
      <xdr:nvGraphicFramePr>
        <xdr:cNvPr id="6" name="Chart 5">
          <a:extLst>
            <a:ext uri="{FF2B5EF4-FFF2-40B4-BE49-F238E27FC236}">
              <a16:creationId xmlns:a16="http://schemas.microsoft.com/office/drawing/2014/main" id="{B31D5AA0-7AFF-DABF-C443-BFD517B4A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99060</xdr:colOff>
      <xdr:row>14</xdr:row>
      <xdr:rowOff>26670</xdr:rowOff>
    </xdr:from>
    <xdr:to>
      <xdr:col>7</xdr:col>
      <xdr:colOff>342900</xdr:colOff>
      <xdr:row>32</xdr:row>
      <xdr:rowOff>106680</xdr:rowOff>
    </xdr:to>
    <xdr:graphicFrame macro="">
      <xdr:nvGraphicFramePr>
        <xdr:cNvPr id="7" name="Chart 6">
          <a:extLst>
            <a:ext uri="{FF2B5EF4-FFF2-40B4-BE49-F238E27FC236}">
              <a16:creationId xmlns:a16="http://schemas.microsoft.com/office/drawing/2014/main" id="{621595A0-E943-625F-A4F2-2E142F1DB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83820</xdr:colOff>
      <xdr:row>14</xdr:row>
      <xdr:rowOff>76200</xdr:rowOff>
    </xdr:from>
    <xdr:to>
      <xdr:col>11</xdr:col>
      <xdr:colOff>152400</xdr:colOff>
      <xdr:row>31</xdr:row>
      <xdr:rowOff>99060</xdr:rowOff>
    </xdr:to>
    <xdr:graphicFrame macro="">
      <xdr:nvGraphicFramePr>
        <xdr:cNvPr id="8" name="Chart 7">
          <a:extLst>
            <a:ext uri="{FF2B5EF4-FFF2-40B4-BE49-F238E27FC236}">
              <a16:creationId xmlns:a16="http://schemas.microsoft.com/office/drawing/2014/main" id="{22822707-DBBD-5D36-F250-89AF1AC56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594360</xdr:colOff>
      <xdr:row>14</xdr:row>
      <xdr:rowOff>95250</xdr:rowOff>
    </xdr:from>
    <xdr:to>
      <xdr:col>15</xdr:col>
      <xdr:colOff>76200</xdr:colOff>
      <xdr:row>31</xdr:row>
      <xdr:rowOff>76200</xdr:rowOff>
    </xdr:to>
    <xdr:graphicFrame macro="">
      <xdr:nvGraphicFramePr>
        <xdr:cNvPr id="9" name="Chart 8">
          <a:extLst>
            <a:ext uri="{FF2B5EF4-FFF2-40B4-BE49-F238E27FC236}">
              <a16:creationId xmlns:a16="http://schemas.microsoft.com/office/drawing/2014/main" id="{A4B5D41E-48A1-EE9F-2154-8CF2491326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22860</xdr:colOff>
      <xdr:row>14</xdr:row>
      <xdr:rowOff>114300</xdr:rowOff>
    </xdr:from>
    <xdr:to>
      <xdr:col>19</xdr:col>
      <xdr:colOff>7620</xdr:colOff>
      <xdr:row>31</xdr:row>
      <xdr:rowOff>106680</xdr:rowOff>
    </xdr:to>
    <xdr:graphicFrame macro="">
      <xdr:nvGraphicFramePr>
        <xdr:cNvPr id="10" name="Chart 9">
          <a:extLst>
            <a:ext uri="{FF2B5EF4-FFF2-40B4-BE49-F238E27FC236}">
              <a16:creationId xmlns:a16="http://schemas.microsoft.com/office/drawing/2014/main" id="{12290317-E90D-9BA5-9002-63C54C127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14</xdr:row>
      <xdr:rowOff>175260</xdr:rowOff>
    </xdr:from>
    <xdr:to>
      <xdr:col>23</xdr:col>
      <xdr:colOff>60960</xdr:colOff>
      <xdr:row>32</xdr:row>
      <xdr:rowOff>91440</xdr:rowOff>
    </xdr:to>
    <xdr:graphicFrame macro="">
      <xdr:nvGraphicFramePr>
        <xdr:cNvPr id="11" name="Chart 10">
          <a:extLst>
            <a:ext uri="{FF2B5EF4-FFF2-40B4-BE49-F238E27FC236}">
              <a16:creationId xmlns:a16="http://schemas.microsoft.com/office/drawing/2014/main" id="{1A79CF5E-8BCA-7912-53B5-94593DA47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510540</xdr:colOff>
      <xdr:row>14</xdr:row>
      <xdr:rowOff>156210</xdr:rowOff>
    </xdr:from>
    <xdr:to>
      <xdr:col>27</xdr:col>
      <xdr:colOff>167640</xdr:colOff>
      <xdr:row>32</xdr:row>
      <xdr:rowOff>175260</xdr:rowOff>
    </xdr:to>
    <xdr:graphicFrame macro="">
      <xdr:nvGraphicFramePr>
        <xdr:cNvPr id="12" name="Chart 11">
          <a:extLst>
            <a:ext uri="{FF2B5EF4-FFF2-40B4-BE49-F238E27FC236}">
              <a16:creationId xmlns:a16="http://schemas.microsoft.com/office/drawing/2014/main" id="{BF926925-1302-DE2E-D928-1F5777082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556260</xdr:colOff>
      <xdr:row>14</xdr:row>
      <xdr:rowOff>137160</xdr:rowOff>
    </xdr:from>
    <xdr:to>
      <xdr:col>31</xdr:col>
      <xdr:colOff>114300</xdr:colOff>
      <xdr:row>31</xdr:row>
      <xdr:rowOff>175260</xdr:rowOff>
    </xdr:to>
    <xdr:graphicFrame macro="">
      <xdr:nvGraphicFramePr>
        <xdr:cNvPr id="13" name="Chart 12">
          <a:extLst>
            <a:ext uri="{FF2B5EF4-FFF2-40B4-BE49-F238E27FC236}">
              <a16:creationId xmlns:a16="http://schemas.microsoft.com/office/drawing/2014/main" id="{9641929B-1C88-B7F0-F1D4-ECD9438F7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31</xdr:col>
      <xdr:colOff>563880</xdr:colOff>
      <xdr:row>14</xdr:row>
      <xdr:rowOff>148590</xdr:rowOff>
    </xdr:from>
    <xdr:to>
      <xdr:col>34</xdr:col>
      <xdr:colOff>571500</xdr:colOff>
      <xdr:row>31</xdr:row>
      <xdr:rowOff>0</xdr:rowOff>
    </xdr:to>
    <xdr:graphicFrame macro="">
      <xdr:nvGraphicFramePr>
        <xdr:cNvPr id="14" name="Chart 13">
          <a:extLst>
            <a:ext uri="{FF2B5EF4-FFF2-40B4-BE49-F238E27FC236}">
              <a16:creationId xmlns:a16="http://schemas.microsoft.com/office/drawing/2014/main" id="{AFD89728-BED6-E6D1-9CD6-7BF3D0E84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95EF4-FE5D-48A4-A507-C3408FC26720}">
  <dimension ref="I5:O16"/>
  <sheetViews>
    <sheetView workbookViewId="0">
      <selection activeCell="I5" sqref="I5:O6"/>
    </sheetView>
  </sheetViews>
  <sheetFormatPr defaultColWidth="8.85546875" defaultRowHeight="15"/>
  <cols>
    <col min="1" max="14" width="8.85546875" style="1"/>
    <col min="15" max="15" width="12.7109375" style="1" bestFit="1" customWidth="1"/>
    <col min="16" max="16384" width="8.85546875" style="1"/>
  </cols>
  <sheetData>
    <row r="5" spans="9:15">
      <c r="I5" s="76" t="s">
        <v>0</v>
      </c>
      <c r="J5" s="76"/>
      <c r="K5" s="76"/>
      <c r="L5" s="76"/>
      <c r="M5" s="76"/>
      <c r="N5" s="76"/>
      <c r="O5" s="76"/>
    </row>
    <row r="6" spans="9:15" ht="15.75" thickBot="1">
      <c r="I6" s="77"/>
      <c r="J6" s="77"/>
      <c r="K6" s="77"/>
      <c r="L6" s="77"/>
      <c r="M6" s="77"/>
      <c r="N6" s="77"/>
      <c r="O6" s="77"/>
    </row>
    <row r="7" spans="9:15" ht="16.5" thickTop="1" thickBot="1"/>
    <row r="8" spans="9:15" ht="18.75">
      <c r="I8" s="78" t="s">
        <v>1</v>
      </c>
      <c r="J8" s="79"/>
      <c r="K8" s="79"/>
      <c r="L8" s="79"/>
      <c r="M8" s="79"/>
      <c r="N8" s="79"/>
      <c r="O8" s="80"/>
    </row>
    <row r="9" spans="9:15" ht="19.5" thickBot="1">
      <c r="I9" s="81" t="s">
        <v>2</v>
      </c>
      <c r="J9" s="82"/>
      <c r="K9" s="82" t="s">
        <v>3</v>
      </c>
      <c r="L9" s="82"/>
      <c r="M9" s="82" t="s">
        <v>4</v>
      </c>
      <c r="N9" s="82"/>
      <c r="O9" s="67" t="s">
        <v>5</v>
      </c>
    </row>
    <row r="10" spans="9:15" ht="18.75">
      <c r="I10" s="83" t="s">
        <v>6</v>
      </c>
      <c r="J10" s="84"/>
      <c r="K10" s="84" t="s">
        <v>7</v>
      </c>
      <c r="L10" s="84"/>
      <c r="M10" s="84" t="s">
        <v>8</v>
      </c>
      <c r="N10" s="84"/>
      <c r="O10" s="68">
        <v>14370519</v>
      </c>
    </row>
    <row r="11" spans="9:15" ht="18.75">
      <c r="I11" s="85" t="s">
        <v>9</v>
      </c>
      <c r="J11" s="73"/>
      <c r="K11" s="73" t="s">
        <v>10</v>
      </c>
      <c r="L11" s="73"/>
      <c r="M11" s="73" t="s">
        <v>11</v>
      </c>
      <c r="N11" s="73"/>
      <c r="O11" s="65" t="s">
        <v>12</v>
      </c>
    </row>
    <row r="12" spans="9:15" ht="18.75">
      <c r="I12" s="85" t="s">
        <v>13</v>
      </c>
      <c r="J12" s="73"/>
      <c r="K12" s="73" t="s">
        <v>14</v>
      </c>
      <c r="L12" s="73"/>
      <c r="M12" s="73" t="s">
        <v>11</v>
      </c>
      <c r="N12" s="73"/>
      <c r="O12" s="64">
        <v>13656304</v>
      </c>
    </row>
    <row r="13" spans="9:15" ht="19.5" thickBot="1">
      <c r="I13" s="86" t="s">
        <v>15</v>
      </c>
      <c r="J13" s="75"/>
      <c r="K13" s="75" t="s">
        <v>16</v>
      </c>
      <c r="L13" s="75"/>
      <c r="M13" s="75" t="s">
        <v>11</v>
      </c>
      <c r="N13" s="75"/>
      <c r="O13" s="66">
        <v>13655519</v>
      </c>
    </row>
    <row r="16" spans="9:15" ht="18.75">
      <c r="K16" s="74" t="s">
        <v>17</v>
      </c>
      <c r="L16" s="74"/>
      <c r="M16" s="74"/>
    </row>
  </sheetData>
  <mergeCells count="18">
    <mergeCell ref="I12:J12"/>
    <mergeCell ref="I13:J13"/>
    <mergeCell ref="K11:L11"/>
    <mergeCell ref="M11:N11"/>
    <mergeCell ref="I5:O6"/>
    <mergeCell ref="I8:O8"/>
    <mergeCell ref="I9:J9"/>
    <mergeCell ref="I10:J10"/>
    <mergeCell ref="I11:J11"/>
    <mergeCell ref="K9:L9"/>
    <mergeCell ref="M9:N9"/>
    <mergeCell ref="K10:L10"/>
    <mergeCell ref="M10:N10"/>
    <mergeCell ref="K12:L12"/>
    <mergeCell ref="M12:N12"/>
    <mergeCell ref="K16:M16"/>
    <mergeCell ref="K13:L13"/>
    <mergeCell ref="M13:N13"/>
  </mergeCells>
  <pageMargins left="0.7" right="0.7" top="0.75" bottom="0.75" header="0.3" footer="0.3"/>
  <ignoredErrors>
    <ignoredError sqref="O11" numberStoredAsText="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8222A-937F-4119-BC87-9448236E9694}">
  <dimension ref="A1:Z27"/>
  <sheetViews>
    <sheetView tabSelected="1" zoomScale="55" zoomScaleNormal="55" workbookViewId="0">
      <selection activeCell="K5" sqref="K5"/>
    </sheetView>
  </sheetViews>
  <sheetFormatPr defaultColWidth="9.140625" defaultRowHeight="15"/>
  <cols>
    <col min="1" max="14" width="9.140625" style="1"/>
    <col min="15" max="15" width="10.7109375" style="1" bestFit="1" customWidth="1"/>
    <col min="16" max="19" width="9.140625" style="1"/>
    <col min="20" max="20" width="13.7109375" style="1" bestFit="1" customWidth="1"/>
    <col min="21" max="24" width="9.140625" style="1"/>
    <col min="25" max="25" width="14" style="1" customWidth="1"/>
    <col min="26" max="26" width="14.5703125" style="1" customWidth="1"/>
    <col min="27" max="16384" width="9.140625" style="1"/>
  </cols>
  <sheetData>
    <row r="1" spans="1:26" s="58" customFormat="1" ht="68.25">
      <c r="A1" s="61" t="s">
        <v>18</v>
      </c>
      <c r="F1" s="59"/>
    </row>
    <row r="4" spans="1:26" ht="21">
      <c r="C4" s="87" t="s">
        <v>19</v>
      </c>
      <c r="D4" s="88"/>
      <c r="E4" s="89"/>
      <c r="F4" s="56">
        <v>280</v>
      </c>
      <c r="H4" s="87" t="s">
        <v>20</v>
      </c>
      <c r="I4" s="88"/>
      <c r="J4" s="89"/>
      <c r="K4" s="56">
        <v>290.33999999999997</v>
      </c>
      <c r="M4" s="87" t="s">
        <v>21</v>
      </c>
      <c r="N4" s="88"/>
      <c r="O4" s="89"/>
      <c r="P4" s="56">
        <v>10.34</v>
      </c>
      <c r="R4" s="87" t="s">
        <v>22</v>
      </c>
      <c r="S4" s="88"/>
      <c r="T4" s="89"/>
      <c r="U4" s="57">
        <f>(K4-F4)/F4</f>
        <v>3.6928571428571338E-2</v>
      </c>
      <c r="W4" s="90" t="s">
        <v>23</v>
      </c>
      <c r="X4" s="88"/>
      <c r="Y4" s="89"/>
      <c r="Z4" s="57">
        <f>U4*252/12</f>
        <v>0.77549999999999819</v>
      </c>
    </row>
    <row r="5" spans="1:26">
      <c r="C5" s="54"/>
      <c r="D5" s="54"/>
      <c r="F5" s="55"/>
    </row>
    <row r="7" spans="1:26" ht="31.5">
      <c r="C7" s="60" t="s">
        <v>24</v>
      </c>
      <c r="N7" s="60" t="s">
        <v>25</v>
      </c>
      <c r="Y7" s="60" t="s">
        <v>26</v>
      </c>
    </row>
    <row r="12" spans="1:26">
      <c r="A12" s="62" t="s">
        <v>27</v>
      </c>
      <c r="B12" s="62" t="s">
        <v>28</v>
      </c>
      <c r="C12" s="62" t="s">
        <v>29</v>
      </c>
      <c r="D12" s="62" t="s">
        <v>30</v>
      </c>
      <c r="E12" s="62" t="s">
        <v>31</v>
      </c>
      <c r="F12" s="62" t="s">
        <v>32</v>
      </c>
      <c r="G12" s="62" t="s">
        <v>33</v>
      </c>
      <c r="H12" s="62" t="s">
        <v>34</v>
      </c>
      <c r="I12" s="62" t="s">
        <v>35</v>
      </c>
      <c r="J12" s="62" t="s">
        <v>36</v>
      </c>
    </row>
    <row r="13" spans="1:26">
      <c r="A13" s="1" t="s">
        <v>37</v>
      </c>
      <c r="B13" s="1" t="s">
        <v>37</v>
      </c>
      <c r="C13" t="s">
        <v>38</v>
      </c>
      <c r="D13" t="s">
        <v>39</v>
      </c>
      <c r="E13" s="1" t="s">
        <v>40</v>
      </c>
      <c r="F13" t="s">
        <v>38</v>
      </c>
      <c r="G13" t="s">
        <v>41</v>
      </c>
      <c r="H13" t="s">
        <v>39</v>
      </c>
      <c r="I13" t="s">
        <v>42</v>
      </c>
      <c r="J13" s="1" t="s">
        <v>43</v>
      </c>
    </row>
    <row r="14" spans="1:26">
      <c r="A14" s="1">
        <v>1</v>
      </c>
      <c r="B14" s="1">
        <f>1</f>
        <v>1</v>
      </c>
      <c r="C14" s="1">
        <v>2</v>
      </c>
      <c r="D14" s="1">
        <v>3</v>
      </c>
      <c r="E14" s="1">
        <v>4</v>
      </c>
      <c r="F14" s="1">
        <v>2</v>
      </c>
      <c r="G14" s="1">
        <v>2</v>
      </c>
      <c r="H14" s="1">
        <v>3</v>
      </c>
      <c r="I14" s="1">
        <v>5</v>
      </c>
      <c r="J14" s="1">
        <v>6</v>
      </c>
    </row>
    <row r="15" spans="1:26">
      <c r="A15" s="63">
        <f t="shared" ref="A15:J15" si="0">A14/SUM($A$14:$J$14)</f>
        <v>3.4482758620689655E-2</v>
      </c>
      <c r="B15" s="63">
        <f t="shared" si="0"/>
        <v>3.4482758620689655E-2</v>
      </c>
      <c r="C15" s="63">
        <f t="shared" si="0"/>
        <v>6.8965517241379309E-2</v>
      </c>
      <c r="D15" s="63">
        <f t="shared" si="0"/>
        <v>0.10344827586206896</v>
      </c>
      <c r="E15" s="63">
        <f t="shared" si="0"/>
        <v>0.13793103448275862</v>
      </c>
      <c r="F15" s="63">
        <f t="shared" si="0"/>
        <v>6.8965517241379309E-2</v>
      </c>
      <c r="G15" s="63">
        <f t="shared" si="0"/>
        <v>6.8965517241379309E-2</v>
      </c>
      <c r="H15" s="63">
        <f t="shared" si="0"/>
        <v>0.10344827586206896</v>
      </c>
      <c r="I15" s="63">
        <f t="shared" si="0"/>
        <v>0.17241379310344829</v>
      </c>
      <c r="J15" s="63">
        <f t="shared" si="0"/>
        <v>0.20689655172413793</v>
      </c>
      <c r="K15" s="1">
        <f>SUM(A15:J15)</f>
        <v>1</v>
      </c>
    </row>
    <row r="16" spans="1:26">
      <c r="A16" s="37">
        <f>SUM(B15,A15)</f>
        <v>6.8965517241379309E-2</v>
      </c>
      <c r="B16" s="37">
        <f>SUM(C15,F15,G15)</f>
        <v>0.20689655172413793</v>
      </c>
      <c r="C16" s="37">
        <f>SUM(D15,H15)</f>
        <v>0.20689655172413793</v>
      </c>
      <c r="D16" s="37">
        <f>SUM(E15)</f>
        <v>0.13793103448275862</v>
      </c>
      <c r="E16" s="37">
        <f>SUM(I15)</f>
        <v>0.17241379310344829</v>
      </c>
      <c r="F16" s="37">
        <f>SUM(J15)</f>
        <v>0.20689655172413793</v>
      </c>
    </row>
    <row r="17" spans="1:10">
      <c r="A17" s="1" t="s">
        <v>37</v>
      </c>
      <c r="B17" t="s">
        <v>38</v>
      </c>
      <c r="C17" t="s">
        <v>39</v>
      </c>
      <c r="D17" s="1" t="s">
        <v>40</v>
      </c>
      <c r="E17" t="s">
        <v>42</v>
      </c>
      <c r="F17" s="1" t="s">
        <v>43</v>
      </c>
    </row>
    <row r="26" spans="1:10">
      <c r="A26" s="39"/>
      <c r="B26" s="39"/>
      <c r="C26" s="39"/>
      <c r="D26" s="39"/>
      <c r="E26" s="39"/>
      <c r="F26" s="39"/>
      <c r="G26" s="39"/>
      <c r="H26" s="39"/>
      <c r="I26" s="39"/>
      <c r="J26" s="39"/>
    </row>
    <row r="27" spans="1:10" s="58" customFormat="1" ht="68.25">
      <c r="A27" s="61" t="s">
        <v>44</v>
      </c>
      <c r="F27" s="59"/>
    </row>
  </sheetData>
  <mergeCells count="5">
    <mergeCell ref="M4:O4"/>
    <mergeCell ref="H4:J4"/>
    <mergeCell ref="C4:E4"/>
    <mergeCell ref="R4:T4"/>
    <mergeCell ref="W4:Y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F0DD5-7483-442A-92D3-DC4C5C45CD54}">
  <dimension ref="A2:AC22"/>
  <sheetViews>
    <sheetView zoomScale="84" zoomScaleNormal="85" workbookViewId="0">
      <selection activeCell="O16" sqref="O16"/>
    </sheetView>
  </sheetViews>
  <sheetFormatPr defaultColWidth="8.85546875" defaultRowHeight="15"/>
  <cols>
    <col min="1" max="1" width="12.85546875" style="1" customWidth="1"/>
    <col min="2" max="2" width="14" style="1" customWidth="1"/>
    <col min="3" max="3" width="15.28515625" style="1" customWidth="1"/>
    <col min="4" max="4" width="14.28515625" style="1" customWidth="1"/>
    <col min="5" max="5" width="14" style="1" customWidth="1"/>
    <col min="6" max="6" width="13.85546875" style="1" customWidth="1"/>
    <col min="7" max="7" width="14" style="1" customWidth="1"/>
    <col min="8" max="8" width="15.28515625" style="1" customWidth="1"/>
    <col min="9" max="9" width="13.7109375" style="1" customWidth="1"/>
    <col min="10" max="10" width="12.7109375" style="1" customWidth="1"/>
    <col min="11" max="27" width="8.85546875" style="1"/>
    <col min="28" max="29" width="19.5703125" style="1" bestFit="1" customWidth="1"/>
    <col min="30" max="30" width="14.5703125" style="1" bestFit="1" customWidth="1"/>
    <col min="31" max="31" width="23.7109375" style="1" bestFit="1" customWidth="1"/>
    <col min="32" max="32" width="16.28515625" style="1" bestFit="1" customWidth="1"/>
    <col min="33" max="33" width="14.5703125" style="1" bestFit="1" customWidth="1"/>
    <col min="34" max="34" width="29.85546875" style="1" bestFit="1" customWidth="1"/>
    <col min="35" max="35" width="23.7109375" style="1" bestFit="1" customWidth="1"/>
    <col min="36" max="36" width="23.5703125" style="1" bestFit="1" customWidth="1"/>
    <col min="37" max="37" width="15.5703125" style="1" bestFit="1" customWidth="1"/>
    <col min="38" max="16384" width="8.85546875" style="1"/>
  </cols>
  <sheetData>
    <row r="2" spans="1:29" ht="32.25" thickBot="1">
      <c r="A2" s="8" t="s">
        <v>45</v>
      </c>
      <c r="B2" s="9" t="s">
        <v>46</v>
      </c>
      <c r="C2" s="9" t="s">
        <v>47</v>
      </c>
      <c r="D2" s="9" t="s">
        <v>48</v>
      </c>
      <c r="E2" s="9" t="s">
        <v>49</v>
      </c>
      <c r="F2" s="9" t="s">
        <v>50</v>
      </c>
      <c r="G2" s="9" t="s">
        <v>51</v>
      </c>
      <c r="H2" s="10" t="s">
        <v>26</v>
      </c>
      <c r="I2" s="10" t="s">
        <v>52</v>
      </c>
      <c r="J2" s="11" t="s">
        <v>53</v>
      </c>
    </row>
    <row r="3" spans="1:29" ht="15.75" thickTop="1">
      <c r="A3" s="4">
        <v>45639</v>
      </c>
      <c r="B3" s="6">
        <v>269.57</v>
      </c>
      <c r="C3" s="6">
        <f>B3</f>
        <v>269.57</v>
      </c>
      <c r="D3" s="6">
        <f>9.2</f>
        <v>9.1999999999999993</v>
      </c>
      <c r="E3" s="6">
        <f>B3</f>
        <v>269.57</v>
      </c>
      <c r="F3" s="6">
        <f>7.91</f>
        <v>7.91</v>
      </c>
      <c r="G3" s="6">
        <f t="shared" ref="G3:G14" si="0">B3+F3</f>
        <v>277.48</v>
      </c>
      <c r="H3" s="5">
        <f>0%</f>
        <v>0</v>
      </c>
      <c r="I3" s="6">
        <f>0</f>
        <v>0</v>
      </c>
      <c r="J3" s="12">
        <f>0</f>
        <v>0</v>
      </c>
    </row>
    <row r="4" spans="1:29">
      <c r="A4" s="4">
        <v>45642</v>
      </c>
      <c r="B4" s="6">
        <f>267.87</f>
        <v>267.87</v>
      </c>
      <c r="C4" s="6">
        <f>0</f>
        <v>0</v>
      </c>
      <c r="D4" s="6">
        <f>0</f>
        <v>0</v>
      </c>
      <c r="E4" s="6">
        <f t="shared" ref="E4:E14" si="1">B4</f>
        <v>267.87</v>
      </c>
      <c r="F4" s="6">
        <f t="shared" ref="F4:F14" si="2">7.91</f>
        <v>7.91</v>
      </c>
      <c r="G4" s="6">
        <f t="shared" si="0"/>
        <v>275.78000000000003</v>
      </c>
      <c r="H4" s="5">
        <f>(G4-G3)/G3</f>
        <v>-6.1265676805535123E-3</v>
      </c>
      <c r="I4" s="6">
        <f>G4-$G$3</f>
        <v>-1.6999999999999886</v>
      </c>
      <c r="J4" s="12">
        <f>G4-G3</f>
        <v>-1.6999999999999886</v>
      </c>
    </row>
    <row r="5" spans="1:29">
      <c r="A5" s="4">
        <v>45644</v>
      </c>
      <c r="B5" s="6">
        <f>267.49</f>
        <v>267.49</v>
      </c>
      <c r="C5" s="6">
        <f>0</f>
        <v>0</v>
      </c>
      <c r="D5" s="6">
        <f>0</f>
        <v>0</v>
      </c>
      <c r="E5" s="6">
        <f t="shared" si="1"/>
        <v>267.49</v>
      </c>
      <c r="F5" s="6">
        <f t="shared" si="2"/>
        <v>7.91</v>
      </c>
      <c r="G5" s="6">
        <f t="shared" si="0"/>
        <v>275.40000000000003</v>
      </c>
      <c r="H5" s="5">
        <f t="shared" ref="H5:H14" si="3">(G5-G4)/G4</f>
        <v>-1.3779099282036238E-3</v>
      </c>
      <c r="I5" s="6">
        <f t="shared" ref="I5:I13" si="4">G5-$G$3</f>
        <v>-2.0799999999999841</v>
      </c>
      <c r="J5" s="12">
        <f t="shared" ref="J5:J14" si="5">G5-G4</f>
        <v>-0.37999999999999545</v>
      </c>
    </row>
    <row r="6" spans="1:29">
      <c r="A6" s="4">
        <v>45645</v>
      </c>
      <c r="B6" s="6">
        <f>267.82</f>
        <v>267.82</v>
      </c>
      <c r="C6" s="6">
        <f>0</f>
        <v>0</v>
      </c>
      <c r="D6" s="6">
        <f>0</f>
        <v>0</v>
      </c>
      <c r="E6" s="6">
        <f t="shared" si="1"/>
        <v>267.82</v>
      </c>
      <c r="F6" s="6">
        <f t="shared" si="2"/>
        <v>7.91</v>
      </c>
      <c r="G6" s="6">
        <f t="shared" si="0"/>
        <v>275.73</v>
      </c>
      <c r="H6" s="5">
        <f t="shared" si="3"/>
        <v>1.1982570806099639E-3</v>
      </c>
      <c r="I6" s="6">
        <f t="shared" si="4"/>
        <v>-1.75</v>
      </c>
      <c r="J6" s="12">
        <f t="shared" si="5"/>
        <v>0.32999999999998408</v>
      </c>
    </row>
    <row r="7" spans="1:29">
      <c r="A7" s="4">
        <v>45646</v>
      </c>
      <c r="B7" s="6">
        <f>267.66</f>
        <v>267.66000000000003</v>
      </c>
      <c r="C7" s="6">
        <f>0</f>
        <v>0</v>
      </c>
      <c r="D7" s="6">
        <f>0</f>
        <v>0</v>
      </c>
      <c r="E7" s="6">
        <f t="shared" si="1"/>
        <v>267.66000000000003</v>
      </c>
      <c r="F7" s="6">
        <f t="shared" si="2"/>
        <v>7.91</v>
      </c>
      <c r="G7" s="6">
        <f t="shared" si="0"/>
        <v>275.57000000000005</v>
      </c>
      <c r="H7" s="5">
        <f t="shared" si="3"/>
        <v>-5.8027780800046474E-4</v>
      </c>
      <c r="I7" s="6">
        <f t="shared" si="4"/>
        <v>-1.9099999999999682</v>
      </c>
      <c r="J7" s="12">
        <f t="shared" si="5"/>
        <v>-0.15999999999996817</v>
      </c>
    </row>
    <row r="8" spans="1:29">
      <c r="A8" s="4">
        <v>45649</v>
      </c>
      <c r="B8" s="6">
        <f>268.13</f>
        <v>268.13</v>
      </c>
      <c r="C8" s="6">
        <f>0</f>
        <v>0</v>
      </c>
      <c r="D8" s="6">
        <f>0</f>
        <v>0</v>
      </c>
      <c r="E8" s="6">
        <f t="shared" si="1"/>
        <v>268.13</v>
      </c>
      <c r="F8" s="6">
        <f t="shared" si="2"/>
        <v>7.91</v>
      </c>
      <c r="G8" s="6">
        <f t="shared" si="0"/>
        <v>276.04000000000002</v>
      </c>
      <c r="H8" s="5">
        <f t="shared" si="3"/>
        <v>1.7055557571577834E-3</v>
      </c>
      <c r="I8" s="6">
        <f t="shared" si="4"/>
        <v>-1.4399999999999977</v>
      </c>
      <c r="J8" s="12">
        <f t="shared" si="5"/>
        <v>0.46999999999997044</v>
      </c>
    </row>
    <row r="9" spans="1:29">
      <c r="A9" s="4">
        <v>45650</v>
      </c>
      <c r="B9" s="6">
        <v>269.11</v>
      </c>
      <c r="C9" s="6">
        <f>0</f>
        <v>0</v>
      </c>
      <c r="D9" s="6">
        <f>0</f>
        <v>0</v>
      </c>
      <c r="E9" s="6">
        <f t="shared" si="1"/>
        <v>269.11</v>
      </c>
      <c r="F9" s="6">
        <f t="shared" si="2"/>
        <v>7.91</v>
      </c>
      <c r="G9" s="6">
        <f t="shared" si="0"/>
        <v>277.02000000000004</v>
      </c>
      <c r="H9" s="5">
        <f t="shared" si="3"/>
        <v>3.5502101144762287E-3</v>
      </c>
      <c r="I9" s="6">
        <f t="shared" si="4"/>
        <v>-0.45999999999997954</v>
      </c>
      <c r="J9" s="12">
        <f t="shared" si="5"/>
        <v>0.98000000000001819</v>
      </c>
      <c r="L9" s="1" t="s">
        <v>54</v>
      </c>
    </row>
    <row r="10" spans="1:29">
      <c r="A10" s="4">
        <v>45651</v>
      </c>
      <c r="B10" s="6">
        <v>269.60000000000002</v>
      </c>
      <c r="C10" s="6">
        <f>0</f>
        <v>0</v>
      </c>
      <c r="D10" s="6">
        <f>0</f>
        <v>0</v>
      </c>
      <c r="E10" s="6">
        <f t="shared" si="1"/>
        <v>269.60000000000002</v>
      </c>
      <c r="F10" s="6">
        <f t="shared" si="2"/>
        <v>7.91</v>
      </c>
      <c r="G10" s="6">
        <f t="shared" si="0"/>
        <v>277.51000000000005</v>
      </c>
      <c r="H10" s="5">
        <f t="shared" si="3"/>
        <v>1.7688253555700275E-3</v>
      </c>
      <c r="I10" s="6">
        <f t="shared" si="4"/>
        <v>3.0000000000029559E-2</v>
      </c>
      <c r="J10" s="12">
        <f t="shared" si="5"/>
        <v>0.49000000000000909</v>
      </c>
    </row>
    <row r="11" spans="1:29">
      <c r="A11" s="4">
        <v>45652</v>
      </c>
      <c r="B11" s="6">
        <v>268.45</v>
      </c>
      <c r="C11" s="6">
        <f>0</f>
        <v>0</v>
      </c>
      <c r="D11" s="6">
        <f>0</f>
        <v>0</v>
      </c>
      <c r="E11" s="6">
        <f t="shared" si="1"/>
        <v>268.45</v>
      </c>
      <c r="F11" s="6">
        <f t="shared" si="2"/>
        <v>7.91</v>
      </c>
      <c r="G11" s="6">
        <f t="shared" si="0"/>
        <v>276.36</v>
      </c>
      <c r="H11" s="5">
        <f t="shared" si="3"/>
        <v>-4.143994810997924E-3</v>
      </c>
      <c r="I11" s="6">
        <f t="shared" si="4"/>
        <v>-1.1200000000000045</v>
      </c>
      <c r="J11" s="12">
        <f t="shared" si="5"/>
        <v>-1.1500000000000341</v>
      </c>
    </row>
    <row r="12" spans="1:29">
      <c r="A12" s="4">
        <v>45653</v>
      </c>
      <c r="B12" s="6">
        <f>268.32</f>
        <v>268.32</v>
      </c>
      <c r="C12" s="6">
        <f>0</f>
        <v>0</v>
      </c>
      <c r="D12" s="6">
        <f>0</f>
        <v>0</v>
      </c>
      <c r="E12" s="6">
        <f t="shared" si="1"/>
        <v>268.32</v>
      </c>
      <c r="F12" s="6">
        <f t="shared" si="2"/>
        <v>7.91</v>
      </c>
      <c r="G12" s="6">
        <f t="shared" si="0"/>
        <v>276.23</v>
      </c>
      <c r="H12" s="5">
        <f t="shared" si="3"/>
        <v>-4.7040092632796154E-4</v>
      </c>
      <c r="I12" s="6">
        <f t="shared" si="4"/>
        <v>-1.25</v>
      </c>
      <c r="J12" s="12">
        <f t="shared" si="5"/>
        <v>-0.12999999999999545</v>
      </c>
    </row>
    <row r="13" spans="1:29">
      <c r="A13" s="4">
        <v>45656</v>
      </c>
      <c r="B13" s="6">
        <v>270.43</v>
      </c>
      <c r="C13" s="6">
        <f>0</f>
        <v>0</v>
      </c>
      <c r="D13" s="6">
        <f>0</f>
        <v>0</v>
      </c>
      <c r="E13" s="6">
        <f t="shared" si="1"/>
        <v>270.43</v>
      </c>
      <c r="F13" s="6">
        <f t="shared" si="2"/>
        <v>7.91</v>
      </c>
      <c r="G13" s="6">
        <f t="shared" si="0"/>
        <v>278.34000000000003</v>
      </c>
      <c r="H13" s="5">
        <f t="shared" si="3"/>
        <v>7.6385620678420642E-3</v>
      </c>
      <c r="I13" s="6">
        <f t="shared" si="4"/>
        <v>0.86000000000001364</v>
      </c>
      <c r="J13" s="12">
        <f t="shared" si="5"/>
        <v>2.1100000000000136</v>
      </c>
      <c r="M13" s="95" t="s">
        <v>55</v>
      </c>
      <c r="N13" s="95"/>
      <c r="O13" s="95"/>
      <c r="P13" s="95"/>
      <c r="Q13" s="95"/>
      <c r="R13" s="95"/>
      <c r="S13" s="95"/>
      <c r="T13" s="95"/>
      <c r="U13" s="95"/>
      <c r="V13" s="95"/>
      <c r="W13" s="95"/>
      <c r="X13" s="95"/>
      <c r="Y13" s="95"/>
      <c r="Z13" s="95"/>
      <c r="AA13" s="95"/>
      <c r="AB13" s="95"/>
      <c r="AC13" s="95"/>
    </row>
    <row r="14" spans="1:29">
      <c r="A14" s="49">
        <v>45657</v>
      </c>
      <c r="B14" s="50">
        <f>269.91</f>
        <v>269.91000000000003</v>
      </c>
      <c r="C14" s="51">
        <f>0</f>
        <v>0</v>
      </c>
      <c r="D14" s="51">
        <f>0</f>
        <v>0</v>
      </c>
      <c r="E14" s="50">
        <f t="shared" si="1"/>
        <v>269.91000000000003</v>
      </c>
      <c r="F14" s="51">
        <f t="shared" si="2"/>
        <v>7.91</v>
      </c>
      <c r="G14" s="50">
        <f t="shared" si="0"/>
        <v>277.82000000000005</v>
      </c>
      <c r="H14" s="52">
        <f t="shared" si="3"/>
        <v>-1.8682187252999272E-3</v>
      </c>
      <c r="I14" s="53">
        <f>G14-$G$3</f>
        <v>0.34000000000003183</v>
      </c>
      <c r="J14" s="50">
        <f t="shared" si="5"/>
        <v>-0.51999999999998181</v>
      </c>
      <c r="M14" s="95" t="s">
        <v>56</v>
      </c>
      <c r="N14" s="95"/>
      <c r="O14" s="95"/>
      <c r="P14" s="95"/>
      <c r="Q14" s="95"/>
      <c r="R14" s="95"/>
      <c r="S14" s="95"/>
      <c r="T14" s="95"/>
      <c r="U14" s="95"/>
      <c r="V14" s="95"/>
      <c r="W14" s="95"/>
      <c r="X14" s="95"/>
      <c r="Y14" s="95"/>
    </row>
    <row r="17" spans="1:10">
      <c r="A17" s="91" t="s">
        <v>57</v>
      </c>
      <c r="B17" s="91"/>
      <c r="C17" s="91"/>
      <c r="D17" s="91"/>
      <c r="E17" s="91"/>
      <c r="F17" s="91"/>
      <c r="G17" s="91"/>
      <c r="H17" s="91"/>
      <c r="I17" s="91"/>
      <c r="J17" s="91"/>
    </row>
    <row r="18" spans="1:10">
      <c r="A18" s="91"/>
      <c r="B18" s="91"/>
      <c r="C18" s="91"/>
      <c r="D18" s="91"/>
      <c r="E18" s="91"/>
      <c r="F18" s="91"/>
      <c r="G18" s="91"/>
      <c r="H18" s="91"/>
      <c r="I18" s="91"/>
      <c r="J18" s="91"/>
    </row>
    <row r="19" spans="1:10" ht="15.75" thickBot="1">
      <c r="A19" s="92"/>
      <c r="B19" s="92"/>
      <c r="C19" s="92"/>
      <c r="D19" s="92"/>
      <c r="E19" s="92"/>
      <c r="F19" s="92"/>
      <c r="G19" s="92"/>
      <c r="H19" s="92"/>
      <c r="I19" s="92"/>
      <c r="J19" s="92"/>
    </row>
    <row r="20" spans="1:10">
      <c r="A20" s="93" t="s">
        <v>58</v>
      </c>
      <c r="B20" s="93"/>
      <c r="C20" s="93"/>
      <c r="D20" s="93"/>
      <c r="E20" s="93"/>
      <c r="F20" s="93" t="s">
        <v>59</v>
      </c>
      <c r="G20" s="93"/>
      <c r="H20" s="93"/>
      <c r="I20" s="93"/>
      <c r="J20" s="93"/>
    </row>
    <row r="21" spans="1:10" ht="15.75" thickBot="1">
      <c r="A21" s="94"/>
      <c r="B21" s="94"/>
      <c r="C21" s="94"/>
      <c r="D21" s="94"/>
      <c r="E21" s="94"/>
      <c r="F21" s="94"/>
      <c r="G21" s="94"/>
      <c r="H21" s="94"/>
      <c r="I21" s="94"/>
      <c r="J21" s="94"/>
    </row>
    <row r="22" spans="1:10" ht="15.75" thickTop="1">
      <c r="B22" s="7"/>
    </row>
  </sheetData>
  <mergeCells count="5">
    <mergeCell ref="A17:J19"/>
    <mergeCell ref="A20:E21"/>
    <mergeCell ref="F20:J21"/>
    <mergeCell ref="M14:Y14"/>
    <mergeCell ref="M13:AC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1092E-DFA2-4F32-AED0-39A369F86498}">
  <dimension ref="A1"/>
  <sheetViews>
    <sheetView topLeftCell="E1" workbookViewId="0">
      <selection activeCell="X13" sqref="X13"/>
    </sheetView>
  </sheetViews>
  <sheetFormatPr defaultColWidth="8.85546875" defaultRowHeight="15"/>
  <cols>
    <col min="1" max="16384" width="8.85546875" style="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B3F56-C505-4A47-919D-F8A362716EF6}">
  <dimension ref="A1:O35"/>
  <sheetViews>
    <sheetView topLeftCell="A12" zoomScaleNormal="100" workbookViewId="0">
      <selection activeCell="D4" sqref="D4"/>
    </sheetView>
  </sheetViews>
  <sheetFormatPr defaultColWidth="8.85546875" defaultRowHeight="15"/>
  <cols>
    <col min="1" max="1" width="11.140625" style="1" customWidth="1"/>
    <col min="2" max="5" width="8.85546875" style="1"/>
    <col min="6" max="6" width="12.85546875" style="1" customWidth="1"/>
    <col min="7" max="7" width="17.28515625" style="1" customWidth="1"/>
    <col min="8" max="8" width="9.28515625" style="1" bestFit="1" customWidth="1"/>
    <col min="9" max="16384" width="8.85546875" style="1"/>
  </cols>
  <sheetData>
    <row r="1" spans="1:15" ht="18" customHeight="1">
      <c r="A1" s="102" t="s">
        <v>60</v>
      </c>
      <c r="B1" s="102"/>
      <c r="C1" s="102"/>
      <c r="D1" s="102"/>
      <c r="E1" s="102"/>
      <c r="F1" s="102"/>
      <c r="G1" s="102"/>
      <c r="H1" s="102"/>
      <c r="I1" s="34"/>
      <c r="J1" s="34"/>
      <c r="K1" s="34"/>
      <c r="L1" s="98"/>
      <c r="M1" s="98"/>
      <c r="N1" s="98"/>
      <c r="O1" s="39"/>
    </row>
    <row r="2" spans="1:15" ht="14.45" customHeight="1" thickBot="1">
      <c r="A2" s="103"/>
      <c r="B2" s="103"/>
      <c r="C2" s="103"/>
      <c r="D2" s="103"/>
      <c r="E2" s="103"/>
      <c r="F2" s="103"/>
      <c r="G2" s="103"/>
      <c r="H2" s="103"/>
      <c r="I2" s="34"/>
      <c r="J2" s="34"/>
      <c r="K2" s="34"/>
      <c r="L2" s="98"/>
      <c r="M2" s="98"/>
      <c r="N2" s="98"/>
      <c r="O2" s="39"/>
    </row>
    <row r="3" spans="1:15" ht="15.75" thickTop="1">
      <c r="H3" s="7"/>
      <c r="L3" s="98"/>
      <c r="M3" s="98"/>
      <c r="N3" s="98"/>
      <c r="O3" s="39"/>
    </row>
    <row r="4" spans="1:15">
      <c r="A4" s="100" t="s">
        <v>61</v>
      </c>
      <c r="B4" s="100"/>
      <c r="C4" s="100"/>
      <c r="D4" s="23">
        <f>AVERAGE('Portfolio Daily Return'!H3:H14)*252</f>
        <v>2.7174850421725752E-2</v>
      </c>
      <c r="F4" s="25" t="s">
        <v>62</v>
      </c>
      <c r="G4" s="35" t="s">
        <v>63</v>
      </c>
      <c r="H4" s="26"/>
      <c r="I4" s="30"/>
      <c r="L4" s="98"/>
      <c r="M4" s="98"/>
      <c r="N4" s="98"/>
      <c r="O4" s="39"/>
    </row>
    <row r="5" spans="1:15">
      <c r="A5" s="104" t="s">
        <v>64</v>
      </c>
      <c r="B5" s="104"/>
      <c r="C5" s="104"/>
      <c r="D5" s="2">
        <f>_xlfn.STDEV.S('Portfolio Daily Return'!H3:H14)*SQRT(252)</f>
        <v>5.6417977759801181E-2</v>
      </c>
      <c r="F5" s="25" t="s">
        <v>65</v>
      </c>
      <c r="G5" s="31" t="s">
        <v>66</v>
      </c>
      <c r="H5" s="26"/>
      <c r="I5" s="29"/>
      <c r="L5" s="98"/>
      <c r="M5" s="98"/>
      <c r="N5" s="98"/>
      <c r="O5" s="39"/>
    </row>
    <row r="6" spans="1:15">
      <c r="A6" s="100" t="s">
        <v>67</v>
      </c>
      <c r="B6" s="100"/>
      <c r="C6" s="100"/>
      <c r="D6" s="3">
        <f>8.6%</f>
        <v>8.5999999999999993E-2</v>
      </c>
      <c r="F6" s="25" t="s">
        <v>68</v>
      </c>
      <c r="G6" s="32" t="s">
        <v>69</v>
      </c>
      <c r="H6" s="26"/>
      <c r="I6" s="28"/>
      <c r="L6" s="98"/>
      <c r="M6" s="98"/>
      <c r="N6" s="98"/>
      <c r="O6" s="39"/>
    </row>
    <row r="7" spans="1:15" ht="15.75">
      <c r="A7" s="101" t="s">
        <v>70</v>
      </c>
      <c r="B7" s="101"/>
      <c r="C7" s="101"/>
      <c r="D7" s="24">
        <f>(D4-D6)/D5</f>
        <v>-1.0426667511678913</v>
      </c>
      <c r="F7" s="25" t="s">
        <v>71</v>
      </c>
      <c r="G7" s="33" t="s">
        <v>72</v>
      </c>
      <c r="H7" s="26"/>
      <c r="I7" s="27"/>
      <c r="L7" s="98"/>
      <c r="M7" s="98"/>
      <c r="N7" s="98"/>
      <c r="O7" s="39"/>
    </row>
    <row r="8" spans="1:15">
      <c r="L8" s="98"/>
      <c r="M8" s="98"/>
      <c r="N8" s="98"/>
      <c r="O8" s="39"/>
    </row>
    <row r="9" spans="1:15">
      <c r="L9" s="98"/>
      <c r="M9" s="98"/>
      <c r="N9" s="98"/>
      <c r="O9" s="39"/>
    </row>
    <row r="10" spans="1:15">
      <c r="L10" s="98"/>
      <c r="M10" s="98"/>
      <c r="N10" s="98"/>
      <c r="O10" s="39"/>
    </row>
    <row r="11" spans="1:15" ht="19.149999999999999" customHeight="1">
      <c r="A11" s="102" t="s">
        <v>73</v>
      </c>
      <c r="B11" s="102"/>
      <c r="C11" s="102"/>
      <c r="D11" s="102"/>
      <c r="E11" s="102"/>
      <c r="F11" s="102"/>
      <c r="G11" s="102"/>
      <c r="H11" s="102"/>
      <c r="M11" s="36"/>
    </row>
    <row r="12" spans="1:15" ht="15.75" thickBot="1">
      <c r="A12" s="103"/>
      <c r="B12" s="103"/>
      <c r="C12" s="103"/>
      <c r="D12" s="103"/>
      <c r="E12" s="103"/>
      <c r="F12" s="103"/>
      <c r="G12" s="103"/>
      <c r="H12" s="103"/>
      <c r="M12" s="36"/>
    </row>
    <row r="13" spans="1:15" ht="15.75" thickTop="1">
      <c r="M13" s="37"/>
    </row>
    <row r="14" spans="1:15">
      <c r="A14" s="100" t="s">
        <v>61</v>
      </c>
      <c r="B14" s="100"/>
      <c r="C14" s="100"/>
      <c r="D14" s="23">
        <f>D4</f>
        <v>2.7174850421725752E-2</v>
      </c>
      <c r="F14" s="25" t="s">
        <v>62</v>
      </c>
      <c r="G14" s="35" t="s">
        <v>63</v>
      </c>
    </row>
    <row r="15" spans="1:15">
      <c r="A15" s="100" t="s">
        <v>74</v>
      </c>
      <c r="B15" s="100"/>
      <c r="C15" s="100"/>
      <c r="D15" s="2">
        <v>3.1375345637262207E-2</v>
      </c>
      <c r="F15" s="25" t="s">
        <v>65</v>
      </c>
      <c r="G15" s="31" t="s">
        <v>66</v>
      </c>
    </row>
    <row r="16" spans="1:15">
      <c r="A16" s="100" t="s">
        <v>75</v>
      </c>
      <c r="B16" s="100"/>
      <c r="C16" s="100"/>
      <c r="D16" s="3">
        <f>8.6%</f>
        <v>8.5999999999999993E-2</v>
      </c>
      <c r="F16" s="25" t="s">
        <v>68</v>
      </c>
      <c r="G16" s="32" t="s">
        <v>69</v>
      </c>
    </row>
    <row r="17" spans="1:8" ht="15.75">
      <c r="A17" s="101" t="s">
        <v>76</v>
      </c>
      <c r="B17" s="101"/>
      <c r="C17" s="101"/>
      <c r="D17" s="38">
        <v>-1.8967700000000001</v>
      </c>
      <c r="F17" s="25" t="s">
        <v>71</v>
      </c>
      <c r="G17" s="33" t="s">
        <v>72</v>
      </c>
    </row>
    <row r="21" spans="1:8" ht="18" customHeight="1">
      <c r="A21" s="102" t="s">
        <v>77</v>
      </c>
      <c r="B21" s="102"/>
      <c r="C21" s="102"/>
      <c r="D21" s="102"/>
      <c r="E21" s="102"/>
      <c r="F21" s="102"/>
      <c r="G21" s="102"/>
      <c r="H21" s="102"/>
    </row>
    <row r="22" spans="1:8" ht="15.75" thickBot="1">
      <c r="A22" s="103"/>
      <c r="B22" s="103"/>
      <c r="C22" s="103"/>
      <c r="D22" s="103"/>
      <c r="E22" s="103"/>
      <c r="F22" s="103"/>
      <c r="G22" s="103"/>
      <c r="H22" s="103"/>
    </row>
    <row r="23" spans="1:8" ht="15.75" thickTop="1"/>
    <row r="24" spans="1:8" ht="16.5" thickBot="1">
      <c r="D24" s="40" t="s">
        <v>78</v>
      </c>
      <c r="E24" s="40" t="s">
        <v>79</v>
      </c>
      <c r="G24" s="44"/>
      <c r="H24" s="42"/>
    </row>
    <row r="25" spans="1:8" ht="15.75" thickTop="1">
      <c r="A25" s="96" t="s">
        <v>27</v>
      </c>
      <c r="B25" s="96"/>
      <c r="C25" s="97"/>
      <c r="D25" s="39">
        <v>0.21219380727278489</v>
      </c>
      <c r="E25" s="1">
        <v>-0.2</v>
      </c>
    </row>
    <row r="26" spans="1:8">
      <c r="A26" s="96" t="s">
        <v>28</v>
      </c>
      <c r="B26" s="96"/>
      <c r="C26" s="97"/>
      <c r="D26" s="39">
        <v>0.20319343509199067</v>
      </c>
      <c r="E26" s="1">
        <v>0.25</v>
      </c>
    </row>
    <row r="27" spans="1:8">
      <c r="A27" s="96" t="s">
        <v>29</v>
      </c>
      <c r="B27" s="96"/>
      <c r="C27" s="97"/>
      <c r="D27" s="39">
        <v>0.12266715450324338</v>
      </c>
      <c r="E27" s="1">
        <v>0.16600000000000001</v>
      </c>
    </row>
    <row r="28" spans="1:8" ht="15.75">
      <c r="A28" s="96" t="s">
        <v>30</v>
      </c>
      <c r="B28" s="96"/>
      <c r="C28" s="97"/>
      <c r="D28" s="39">
        <v>0.135558146345126</v>
      </c>
      <c r="E28" s="1">
        <v>-0.04</v>
      </c>
      <c r="G28" s="41" t="s">
        <v>80</v>
      </c>
      <c r="H28" s="43">
        <f>SUMPRODUCT(D25:D33,E25:E33)</f>
        <v>0.1180605328419205</v>
      </c>
    </row>
    <row r="29" spans="1:8">
      <c r="A29" s="96" t="s">
        <v>31</v>
      </c>
      <c r="B29" s="96"/>
      <c r="C29" s="97"/>
      <c r="D29" s="39">
        <v>0.11050653446396402</v>
      </c>
      <c r="E29" s="1">
        <v>0.14000000000000001</v>
      </c>
    </row>
    <row r="30" spans="1:8">
      <c r="A30" s="96" t="s">
        <v>32</v>
      </c>
      <c r="B30" s="96"/>
      <c r="C30" s="97"/>
      <c r="D30" s="39">
        <v>7.6659276999615805E-2</v>
      </c>
      <c r="E30" s="1">
        <v>0.3</v>
      </c>
    </row>
    <row r="31" spans="1:8">
      <c r="A31" s="96" t="s">
        <v>33</v>
      </c>
      <c r="B31" s="96"/>
      <c r="C31" s="97"/>
      <c r="D31" s="39">
        <v>6.8199791020197478E-2</v>
      </c>
      <c r="E31" s="1">
        <v>0.21</v>
      </c>
    </row>
    <row r="32" spans="1:8">
      <c r="A32" s="96" t="s">
        <v>34</v>
      </c>
      <c r="B32" s="96"/>
      <c r="C32" s="97"/>
      <c r="D32" s="39">
        <v>5.6874338444503299E-2</v>
      </c>
      <c r="E32" s="1">
        <v>0.61</v>
      </c>
    </row>
    <row r="33" spans="1:8">
      <c r="A33" s="96" t="s">
        <v>35</v>
      </c>
      <c r="B33" s="96"/>
      <c r="C33" s="97"/>
      <c r="D33" s="39">
        <v>1.32300240718514E-2</v>
      </c>
      <c r="E33" s="1">
        <v>0.55000000000000004</v>
      </c>
    </row>
    <row r="34" spans="1:8">
      <c r="A34" s="98"/>
      <c r="B34" s="98"/>
      <c r="C34" s="98"/>
      <c r="D34" s="39"/>
    </row>
    <row r="35" spans="1:8">
      <c r="A35" s="99" t="s">
        <v>81</v>
      </c>
      <c r="B35" s="99"/>
      <c r="C35" s="99"/>
      <c r="D35" s="99"/>
      <c r="E35" s="99"/>
      <c r="F35" s="99"/>
      <c r="G35" s="99"/>
      <c r="H35" s="99"/>
    </row>
  </sheetData>
  <mergeCells count="32">
    <mergeCell ref="A26:C26"/>
    <mergeCell ref="A16:C16"/>
    <mergeCell ref="A17:C17"/>
    <mergeCell ref="A21:H22"/>
    <mergeCell ref="A14:C14"/>
    <mergeCell ref="A15:C15"/>
    <mergeCell ref="A25:C25"/>
    <mergeCell ref="L6:N6"/>
    <mergeCell ref="A6:C6"/>
    <mergeCell ref="A7:C7"/>
    <mergeCell ref="A1:H2"/>
    <mergeCell ref="A11:H12"/>
    <mergeCell ref="L7:N7"/>
    <mergeCell ref="L8:N8"/>
    <mergeCell ref="L9:N9"/>
    <mergeCell ref="L10:N10"/>
    <mergeCell ref="L1:N1"/>
    <mergeCell ref="L2:N2"/>
    <mergeCell ref="L3:N3"/>
    <mergeCell ref="L4:N4"/>
    <mergeCell ref="L5:N5"/>
    <mergeCell ref="A5:C5"/>
    <mergeCell ref="A4:C4"/>
    <mergeCell ref="A33:C33"/>
    <mergeCell ref="A34:C34"/>
    <mergeCell ref="A35:H35"/>
    <mergeCell ref="A27:C27"/>
    <mergeCell ref="A28:C28"/>
    <mergeCell ref="A29:C29"/>
    <mergeCell ref="A30:C30"/>
    <mergeCell ref="A31:C31"/>
    <mergeCell ref="A32:C3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D32"/>
  <sheetViews>
    <sheetView workbookViewId="0">
      <selection activeCell="AE4" sqref="AE4"/>
    </sheetView>
  </sheetViews>
  <sheetFormatPr defaultColWidth="8.85546875" defaultRowHeight="15"/>
  <cols>
    <col min="1" max="1" width="13.42578125" style="1" customWidth="1"/>
    <col min="2" max="4" width="8.85546875" style="1"/>
    <col min="5" max="5" width="13.28515625" style="1" customWidth="1"/>
    <col min="6" max="6" width="10.28515625" style="1" customWidth="1"/>
    <col min="7" max="8" width="8.85546875" style="1"/>
    <col min="9" max="9" width="15.7109375" style="1" customWidth="1"/>
    <col min="10" max="10" width="8.85546875" style="1" customWidth="1"/>
    <col min="11" max="12" width="8.85546875" style="1"/>
    <col min="13" max="13" width="17.42578125" style="1" customWidth="1"/>
    <col min="14" max="16" width="8.85546875" style="1"/>
    <col min="17" max="17" width="17.42578125" style="1" customWidth="1"/>
    <col min="18" max="20" width="8.85546875" style="1"/>
    <col min="21" max="21" width="17.7109375" style="1" customWidth="1"/>
    <col min="22" max="24" width="8.85546875" style="1"/>
    <col min="25" max="25" width="15.28515625" style="1" customWidth="1"/>
    <col min="26" max="28" width="8.85546875" style="1"/>
    <col min="29" max="29" width="14.42578125" style="1" customWidth="1"/>
    <col min="30" max="32" width="8.85546875" style="1"/>
    <col min="33" max="33" width="15.42578125" style="1" customWidth="1"/>
    <col min="34" max="37" width="8.85546875" style="1"/>
    <col min="38" max="38" width="15.7109375" style="1" customWidth="1"/>
    <col min="39" max="16384" width="8.85546875" style="1"/>
  </cols>
  <sheetData>
    <row r="1" spans="1:108" ht="19.5" thickBot="1">
      <c r="A1" s="105" t="s">
        <v>82</v>
      </c>
      <c r="B1" s="105"/>
      <c r="C1" s="105"/>
      <c r="E1" s="105" t="s">
        <v>83</v>
      </c>
      <c r="F1" s="105"/>
      <c r="G1" s="105"/>
      <c r="I1" s="105" t="s">
        <v>84</v>
      </c>
      <c r="J1" s="105"/>
      <c r="K1" s="105"/>
      <c r="M1" s="105" t="s">
        <v>85</v>
      </c>
      <c r="N1" s="105"/>
      <c r="O1" s="105"/>
      <c r="Q1" s="105" t="s">
        <v>86</v>
      </c>
      <c r="R1" s="105"/>
      <c r="S1" s="105"/>
      <c r="U1" s="105" t="s">
        <v>87</v>
      </c>
      <c r="V1" s="105"/>
      <c r="W1" s="105"/>
      <c r="Y1" s="105" t="s">
        <v>88</v>
      </c>
      <c r="Z1" s="105"/>
      <c r="AA1" s="105"/>
      <c r="AC1" s="105" t="s">
        <v>89</v>
      </c>
      <c r="AD1" s="105"/>
      <c r="AE1" s="105"/>
      <c r="AG1" s="105" t="s">
        <v>90</v>
      </c>
      <c r="AH1" s="105"/>
      <c r="AI1" s="105"/>
      <c r="AM1" s="18" t="s">
        <v>31</v>
      </c>
      <c r="AN1" s="18" t="s">
        <v>30</v>
      </c>
      <c r="AO1" s="18" t="s">
        <v>28</v>
      </c>
      <c r="AP1" s="18" t="s">
        <v>91</v>
      </c>
      <c r="AQ1" s="18" t="s">
        <v>92</v>
      </c>
      <c r="AR1" s="18" t="s">
        <v>32</v>
      </c>
      <c r="AS1" s="18" t="s">
        <v>35</v>
      </c>
      <c r="AT1" s="18" t="s">
        <v>93</v>
      </c>
      <c r="AU1" s="18" t="s">
        <v>94</v>
      </c>
    </row>
    <row r="2" spans="1:108" ht="21" customHeight="1" thickTop="1" thickBot="1">
      <c r="A2" s="15" t="s">
        <v>95</v>
      </c>
      <c r="B2" s="16" t="s">
        <v>96</v>
      </c>
      <c r="C2" s="16" t="s">
        <v>97</v>
      </c>
      <c r="E2" s="15" t="s">
        <v>95</v>
      </c>
      <c r="F2" s="16" t="s">
        <v>96</v>
      </c>
      <c r="G2" s="16" t="s">
        <v>98</v>
      </c>
      <c r="I2" s="15" t="s">
        <v>95</v>
      </c>
      <c r="J2" s="16" t="s">
        <v>96</v>
      </c>
      <c r="K2" s="16" t="s">
        <v>99</v>
      </c>
      <c r="L2" s="17"/>
      <c r="M2" s="15" t="s">
        <v>95</v>
      </c>
      <c r="N2" s="16" t="s">
        <v>96</v>
      </c>
      <c r="O2" s="16" t="s">
        <v>100</v>
      </c>
      <c r="Q2" s="15" t="s">
        <v>95</v>
      </c>
      <c r="R2" s="16" t="s">
        <v>96</v>
      </c>
      <c r="S2" s="16" t="s">
        <v>101</v>
      </c>
      <c r="U2" s="15" t="s">
        <v>95</v>
      </c>
      <c r="V2" s="16" t="s">
        <v>96</v>
      </c>
      <c r="W2" s="16" t="s">
        <v>102</v>
      </c>
      <c r="Y2" s="15" t="s">
        <v>95</v>
      </c>
      <c r="Z2" s="16" t="s">
        <v>96</v>
      </c>
      <c r="AA2" s="16" t="s">
        <v>103</v>
      </c>
      <c r="AC2" s="15" t="s">
        <v>95</v>
      </c>
      <c r="AD2" s="16" t="s">
        <v>96</v>
      </c>
      <c r="AE2" s="16" t="s">
        <v>104</v>
      </c>
      <c r="AG2" s="15" t="s">
        <v>95</v>
      </c>
      <c r="AH2" s="16" t="s">
        <v>96</v>
      </c>
      <c r="AI2" s="16" t="s">
        <v>105</v>
      </c>
      <c r="AL2" s="19" t="s">
        <v>106</v>
      </c>
      <c r="AM2" s="2">
        <v>10.07</v>
      </c>
      <c r="AN2" s="2">
        <v>10.94</v>
      </c>
      <c r="AO2" s="2">
        <v>11.8</v>
      </c>
      <c r="AP2" s="2">
        <v>12.8</v>
      </c>
      <c r="AQ2" s="2">
        <v>6.49</v>
      </c>
      <c r="AR2" s="2">
        <v>11.88</v>
      </c>
      <c r="AS2" s="2">
        <v>8</v>
      </c>
      <c r="AT2" s="2">
        <v>9.48</v>
      </c>
      <c r="AU2" s="2">
        <v>9.25</v>
      </c>
    </row>
    <row r="3" spans="1:108" ht="17.25" thickTop="1">
      <c r="A3" s="13" t="s">
        <v>107</v>
      </c>
      <c r="B3" s="69">
        <v>10.220000000000001</v>
      </c>
      <c r="C3" s="14">
        <v>1.4895729890764682E-2</v>
      </c>
      <c r="E3" s="13" t="s">
        <v>107</v>
      </c>
      <c r="F3" s="69">
        <v>12</v>
      </c>
      <c r="G3" s="14">
        <v>9.6892138939670983E-2</v>
      </c>
      <c r="I3" s="13" t="s">
        <v>107</v>
      </c>
      <c r="J3" s="69">
        <v>11.6</v>
      </c>
      <c r="K3" s="14">
        <v>-1.6949152542372972E-2</v>
      </c>
      <c r="M3" s="13" t="s">
        <v>107</v>
      </c>
      <c r="N3" s="69">
        <v>12.61</v>
      </c>
      <c r="O3" s="14">
        <v>-1.48437500000001E-2</v>
      </c>
      <c r="Q3" s="13" t="s">
        <v>107</v>
      </c>
      <c r="R3" s="69">
        <v>6.25</v>
      </c>
      <c r="S3" s="14">
        <v>-3.6979969183359045E-2</v>
      </c>
      <c r="U3" s="13" t="s">
        <v>107</v>
      </c>
      <c r="V3" s="69">
        <v>12.21</v>
      </c>
      <c r="W3" s="14">
        <v>2.7777777777777783E-2</v>
      </c>
      <c r="Y3" s="13" t="s">
        <v>107</v>
      </c>
      <c r="Z3" s="69">
        <v>8.1999999999999993</v>
      </c>
      <c r="AA3" s="14">
        <v>2.4999999999999911E-2</v>
      </c>
      <c r="AC3" s="13" t="s">
        <v>107</v>
      </c>
      <c r="AD3" s="69">
        <v>9.3000000000000007</v>
      </c>
      <c r="AE3" s="14">
        <v>-1.89E-2</v>
      </c>
      <c r="AG3" s="13" t="s">
        <v>107</v>
      </c>
      <c r="AH3" s="69">
        <v>9.25</v>
      </c>
      <c r="AI3" s="14">
        <f>0%</f>
        <v>0</v>
      </c>
    </row>
    <row r="4" spans="1:108" ht="16.5">
      <c r="A4" s="13" t="s">
        <v>108</v>
      </c>
      <c r="B4" s="69">
        <v>10.1</v>
      </c>
      <c r="C4" s="14">
        <v>2.9791459781528659E-3</v>
      </c>
      <c r="E4" s="13" t="s">
        <v>108</v>
      </c>
      <c r="F4" s="69">
        <v>11.49</v>
      </c>
      <c r="G4" s="14">
        <v>5.0274223034734986E-2</v>
      </c>
      <c r="I4" s="13" t="s">
        <v>108</v>
      </c>
      <c r="J4" s="69">
        <v>11.67</v>
      </c>
      <c r="K4" s="14">
        <v>-1.1016949152542439E-2</v>
      </c>
      <c r="M4" s="13" t="s">
        <v>108</v>
      </c>
      <c r="N4" s="69">
        <v>12.7</v>
      </c>
      <c r="O4" s="14">
        <v>-7.812500000000111E-3</v>
      </c>
      <c r="Q4" s="13" t="s">
        <v>108</v>
      </c>
      <c r="R4" s="69">
        <v>6.45</v>
      </c>
      <c r="S4" s="14">
        <v>-6.1633281972265077E-3</v>
      </c>
      <c r="U4" s="13" t="s">
        <v>108</v>
      </c>
      <c r="V4" s="69">
        <v>12.3</v>
      </c>
      <c r="W4" s="14">
        <v>3.5353535353535345E-2</v>
      </c>
      <c r="Y4" s="13" t="s">
        <v>108</v>
      </c>
      <c r="Z4" s="69">
        <v>8.01</v>
      </c>
      <c r="AA4" s="14">
        <v>1.2499999999999734E-3</v>
      </c>
      <c r="AC4" s="13" t="s">
        <v>108</v>
      </c>
      <c r="AD4" s="69">
        <v>9.3000000000000007</v>
      </c>
      <c r="AE4" s="14">
        <v>-1.89E-2</v>
      </c>
      <c r="AG4" s="13" t="s">
        <v>108</v>
      </c>
      <c r="AH4" s="69">
        <v>9.25</v>
      </c>
      <c r="AI4" s="14">
        <f>0%</f>
        <v>0</v>
      </c>
    </row>
    <row r="5" spans="1:108" ht="16.5">
      <c r="A5" s="13" t="s">
        <v>109</v>
      </c>
      <c r="B5" s="69">
        <v>10.050000000000001</v>
      </c>
      <c r="C5" s="14">
        <v>-1.9860973187685771E-3</v>
      </c>
      <c r="E5" s="13" t="s">
        <v>109</v>
      </c>
      <c r="F5" s="69">
        <v>11</v>
      </c>
      <c r="G5" s="14">
        <v>5.4844606946984004E-3</v>
      </c>
      <c r="I5" s="13" t="s">
        <v>109</v>
      </c>
      <c r="J5" s="69">
        <v>11.66</v>
      </c>
      <c r="K5" s="14">
        <v>-1.1864406779661064E-2</v>
      </c>
      <c r="M5" s="13" t="s">
        <v>109</v>
      </c>
      <c r="N5" s="69">
        <v>12.65</v>
      </c>
      <c r="O5" s="14">
        <v>-1.1718750000000028E-2</v>
      </c>
      <c r="Q5" s="13" t="s">
        <v>109</v>
      </c>
      <c r="R5" s="69">
        <v>6.32</v>
      </c>
      <c r="S5" s="14">
        <v>-2.6194144838212623E-2</v>
      </c>
      <c r="U5" s="13" t="s">
        <v>109</v>
      </c>
      <c r="V5" s="69">
        <v>12.19</v>
      </c>
      <c r="W5" s="14">
        <v>2.6094276094275986E-2</v>
      </c>
      <c r="Y5" s="13" t="s">
        <v>109</v>
      </c>
      <c r="Z5" s="69">
        <v>8</v>
      </c>
      <c r="AA5" s="14">
        <v>0</v>
      </c>
      <c r="AC5" s="13" t="s">
        <v>109</v>
      </c>
      <c r="AD5" s="69">
        <v>9.3000000000000007</v>
      </c>
      <c r="AE5" s="14">
        <v>-1.89E-2</v>
      </c>
      <c r="AG5" s="13" t="s">
        <v>109</v>
      </c>
      <c r="AH5" s="69">
        <v>9.25</v>
      </c>
      <c r="AI5" s="14">
        <f>0%</f>
        <v>0</v>
      </c>
    </row>
    <row r="6" spans="1:108" ht="16.5">
      <c r="A6" s="13" t="s">
        <v>110</v>
      </c>
      <c r="B6" s="69">
        <v>10.09</v>
      </c>
      <c r="C6" s="14">
        <v>1.9860973187685771E-3</v>
      </c>
      <c r="E6" s="13" t="s">
        <v>110</v>
      </c>
      <c r="F6" s="69">
        <v>11.4</v>
      </c>
      <c r="G6" s="14">
        <v>4.2047531992687466E-2</v>
      </c>
      <c r="I6" s="13" t="s">
        <v>110</v>
      </c>
      <c r="J6" s="69">
        <v>11.73</v>
      </c>
      <c r="K6" s="14">
        <v>-5.932203389830532E-3</v>
      </c>
      <c r="M6" s="13" t="s">
        <v>110</v>
      </c>
      <c r="N6" s="69">
        <v>12.6</v>
      </c>
      <c r="O6" s="14">
        <v>-1.5625000000000083E-2</v>
      </c>
      <c r="Q6" s="13" t="s">
        <v>110</v>
      </c>
      <c r="R6" s="69">
        <v>6.31</v>
      </c>
      <c r="S6" s="14">
        <v>-2.7734976887519351E-2</v>
      </c>
      <c r="U6" s="13" t="s">
        <v>110</v>
      </c>
      <c r="V6" s="69">
        <v>12.07</v>
      </c>
      <c r="W6" s="14">
        <v>1.5993265993265952E-2</v>
      </c>
      <c r="Y6" s="13" t="s">
        <v>110</v>
      </c>
      <c r="Z6" s="69">
        <v>8</v>
      </c>
      <c r="AA6" s="14">
        <v>0</v>
      </c>
      <c r="AC6" s="13" t="s">
        <v>110</v>
      </c>
      <c r="AD6" s="69">
        <v>9.35</v>
      </c>
      <c r="AE6" s="14">
        <v>-1.37E-2</v>
      </c>
      <c r="AG6" s="13" t="s">
        <v>110</v>
      </c>
      <c r="AH6" s="69">
        <v>9.25</v>
      </c>
      <c r="AI6" s="14">
        <f>0%</f>
        <v>0</v>
      </c>
    </row>
    <row r="7" spans="1:108" ht="16.5">
      <c r="A7" s="13" t="s">
        <v>111</v>
      </c>
      <c r="B7" s="69">
        <v>10.09</v>
      </c>
      <c r="C7" s="14">
        <v>1.9860973187685771E-3</v>
      </c>
      <c r="E7" s="13" t="s">
        <v>111</v>
      </c>
      <c r="F7" s="69">
        <v>11.9</v>
      </c>
      <c r="G7" s="14">
        <v>8.7751371115173754E-2</v>
      </c>
      <c r="I7" s="13" t="s">
        <v>111</v>
      </c>
      <c r="J7" s="69">
        <v>11.77</v>
      </c>
      <c r="K7" s="14">
        <v>-2.5423728813560283E-3</v>
      </c>
      <c r="M7" s="13" t="s">
        <v>111</v>
      </c>
      <c r="N7" s="69">
        <v>12.65</v>
      </c>
      <c r="O7" s="14">
        <v>-1.1718750000000028E-2</v>
      </c>
      <c r="Q7" s="13" t="s">
        <v>112</v>
      </c>
      <c r="R7" s="69">
        <v>6.31</v>
      </c>
      <c r="S7" s="14">
        <v>-2.7734976887519351E-2</v>
      </c>
      <c r="U7" s="13" t="s">
        <v>111</v>
      </c>
      <c r="V7" s="69">
        <v>11.81</v>
      </c>
      <c r="W7" s="14">
        <v>-5.8922558922559157E-3</v>
      </c>
      <c r="Y7" s="13" t="s">
        <v>111</v>
      </c>
      <c r="Z7" s="69">
        <v>7.98</v>
      </c>
      <c r="AA7" s="14">
        <v>-2.4999999999999467E-3</v>
      </c>
      <c r="AC7" s="13" t="s">
        <v>111</v>
      </c>
      <c r="AD7" s="69">
        <v>9.19</v>
      </c>
      <c r="AE7" s="14">
        <v>-3.0499999999999999E-2</v>
      </c>
      <c r="AG7" s="13" t="s">
        <v>111</v>
      </c>
      <c r="AH7" s="69">
        <v>9.25</v>
      </c>
      <c r="AI7" s="14">
        <f>0%</f>
        <v>0</v>
      </c>
    </row>
    <row r="8" spans="1:108" ht="16.5">
      <c r="A8" s="13" t="s">
        <v>113</v>
      </c>
      <c r="B8" s="69">
        <v>10.09</v>
      </c>
      <c r="C8" s="14">
        <v>1.9860973187685771E-3</v>
      </c>
      <c r="E8" s="13" t="s">
        <v>113</v>
      </c>
      <c r="F8" s="69">
        <v>11.45</v>
      </c>
      <c r="G8" s="14">
        <v>4.6617915904935997E-2</v>
      </c>
      <c r="I8" s="13" t="s">
        <v>113</v>
      </c>
      <c r="J8" s="69">
        <v>11.87</v>
      </c>
      <c r="K8" s="14">
        <v>5.932203389830382E-3</v>
      </c>
      <c r="M8" s="13" t="s">
        <v>113</v>
      </c>
      <c r="N8" s="69">
        <v>12.65</v>
      </c>
      <c r="O8" s="14">
        <v>-1.1718750000000028E-2</v>
      </c>
      <c r="Q8" s="13" t="s">
        <v>113</v>
      </c>
      <c r="R8" s="69">
        <v>6.31</v>
      </c>
      <c r="S8" s="14">
        <v>-2.7734976887519351E-2</v>
      </c>
      <c r="U8" s="13" t="s">
        <v>114</v>
      </c>
      <c r="V8" s="69">
        <v>11.9</v>
      </c>
      <c r="W8" s="14">
        <v>1.6835016835016474E-3</v>
      </c>
      <c r="Y8" s="13" t="s">
        <v>113</v>
      </c>
      <c r="Z8" s="69">
        <v>8.0500000000000007</v>
      </c>
      <c r="AA8" s="14">
        <v>6.2500000000000888E-3</v>
      </c>
      <c r="AC8" s="13" t="s">
        <v>113</v>
      </c>
      <c r="AD8" s="69">
        <v>9.3000000000000007</v>
      </c>
      <c r="AE8" s="14">
        <v>-1.89E-2</v>
      </c>
      <c r="AG8" s="13" t="s">
        <v>113</v>
      </c>
      <c r="AH8" s="69">
        <v>9.25</v>
      </c>
      <c r="AI8" s="14">
        <f>0%</f>
        <v>0</v>
      </c>
    </row>
    <row r="9" spans="1:108" ht="16.5">
      <c r="A9" s="13" t="s">
        <v>115</v>
      </c>
      <c r="B9" s="69">
        <v>10.1</v>
      </c>
      <c r="C9" s="14">
        <v>2.9791459781528659E-3</v>
      </c>
      <c r="E9" s="13" t="s">
        <v>115</v>
      </c>
      <c r="F9" s="69">
        <v>11</v>
      </c>
      <c r="G9" s="14">
        <v>5.4844606946984004E-3</v>
      </c>
      <c r="I9" s="13" t="s">
        <v>115</v>
      </c>
      <c r="J9" s="69">
        <v>11.9</v>
      </c>
      <c r="K9" s="14">
        <v>8.4745762711864094E-3</v>
      </c>
      <c r="M9" s="13" t="s">
        <v>115</v>
      </c>
      <c r="N9" s="69">
        <v>12.72</v>
      </c>
      <c r="O9" s="14">
        <v>-6.2500000000000056E-3</v>
      </c>
      <c r="Q9" s="13" t="s">
        <v>116</v>
      </c>
      <c r="R9" s="69">
        <v>6.31</v>
      </c>
      <c r="S9" s="14">
        <v>-2.7734976887519351E-2</v>
      </c>
      <c r="U9" s="13" t="s">
        <v>115</v>
      </c>
      <c r="V9" s="69">
        <v>11.9</v>
      </c>
      <c r="W9" s="14">
        <v>1.6835016835016474E-3</v>
      </c>
      <c r="Y9" s="13" t="s">
        <v>115</v>
      </c>
      <c r="Z9" s="69">
        <v>7.98</v>
      </c>
      <c r="AA9" s="14">
        <v>-2.4999999999999467E-3</v>
      </c>
      <c r="AC9" s="13" t="s">
        <v>115</v>
      </c>
      <c r="AD9" s="69">
        <v>9.35</v>
      </c>
      <c r="AE9" s="14">
        <v>-1.37E-2</v>
      </c>
      <c r="AG9" s="13" t="s">
        <v>115</v>
      </c>
      <c r="AH9" s="69">
        <v>9.25</v>
      </c>
      <c r="AI9" s="14">
        <f>0%</f>
        <v>0</v>
      </c>
    </row>
    <row r="10" spans="1:108" ht="16.5">
      <c r="A10" s="13" t="s">
        <v>117</v>
      </c>
      <c r="B10" s="69">
        <v>10.1</v>
      </c>
      <c r="C10" s="14">
        <v>2.9791459781528659E-3</v>
      </c>
      <c r="E10" s="13" t="s">
        <v>117</v>
      </c>
      <c r="F10" s="69">
        <v>11</v>
      </c>
      <c r="G10" s="14">
        <v>5.4844606946984004E-3</v>
      </c>
      <c r="I10" s="13" t="s">
        <v>117</v>
      </c>
      <c r="J10" s="69">
        <v>11.78</v>
      </c>
      <c r="K10" s="14">
        <v>-1.6949152542374024E-3</v>
      </c>
      <c r="M10" s="13" t="s">
        <v>117</v>
      </c>
      <c r="N10" s="69">
        <v>12.64</v>
      </c>
      <c r="O10" s="14">
        <v>-1.2500000000000011E-2</v>
      </c>
      <c r="Q10" s="13" t="s">
        <v>117</v>
      </c>
      <c r="R10" s="69">
        <v>6.31</v>
      </c>
      <c r="S10" s="14">
        <v>-2.7734976887519351E-2</v>
      </c>
      <c r="U10" s="13" t="s">
        <v>117</v>
      </c>
      <c r="V10" s="69">
        <v>11.84</v>
      </c>
      <c r="W10" s="14">
        <v>-3.3670033670034445E-3</v>
      </c>
      <c r="Y10" s="13" t="s">
        <v>117</v>
      </c>
      <c r="Z10" s="69">
        <v>7.98</v>
      </c>
      <c r="AA10" s="14">
        <v>-2.4999999999999467E-3</v>
      </c>
      <c r="AC10" s="13" t="s">
        <v>117</v>
      </c>
      <c r="AD10" s="69">
        <v>9.39</v>
      </c>
      <c r="AE10" s="14">
        <v>-5.1999999999999998E-3</v>
      </c>
      <c r="AG10" s="13" t="s">
        <v>117</v>
      </c>
      <c r="AH10" s="69">
        <v>9.25</v>
      </c>
      <c r="AI10" s="14">
        <f>0%</f>
        <v>0</v>
      </c>
    </row>
    <row r="11" spans="1:108" ht="16.5">
      <c r="A11" s="13" t="s">
        <v>118</v>
      </c>
      <c r="B11" s="69">
        <v>10.11</v>
      </c>
      <c r="C11" s="14">
        <v>3.9721946375371542E-3</v>
      </c>
      <c r="E11" s="13" t="s">
        <v>118</v>
      </c>
      <c r="F11" s="69">
        <v>10.93</v>
      </c>
      <c r="G11" s="14">
        <v>-9.1407678244970637E-4</v>
      </c>
      <c r="I11" s="13" t="s">
        <v>118</v>
      </c>
      <c r="J11" s="69">
        <v>11.8</v>
      </c>
      <c r="K11" s="14">
        <v>0</v>
      </c>
      <c r="M11" s="13" t="s">
        <v>118</v>
      </c>
      <c r="N11" s="69">
        <v>12.83</v>
      </c>
      <c r="O11" s="14">
        <v>2.34374999999995E-3</v>
      </c>
      <c r="Q11" s="13" t="s">
        <v>118</v>
      </c>
      <c r="R11" s="69">
        <v>6.31</v>
      </c>
      <c r="S11" s="14">
        <v>-2.7734976887519351E-2</v>
      </c>
      <c r="U11" s="13" t="s">
        <v>118</v>
      </c>
      <c r="V11" s="69">
        <v>11.88</v>
      </c>
      <c r="W11" s="14">
        <v>0</v>
      </c>
      <c r="Y11" s="13" t="s">
        <v>118</v>
      </c>
      <c r="Z11" s="69">
        <v>7.98</v>
      </c>
      <c r="AA11" s="14">
        <v>-2.4999999999999467E-3</v>
      </c>
      <c r="AC11" s="13" t="s">
        <v>118</v>
      </c>
      <c r="AD11" s="69">
        <v>9.43</v>
      </c>
      <c r="AE11" s="14">
        <v>3.2000000000000002E-3</v>
      </c>
      <c r="AG11" s="13" t="s">
        <v>118</v>
      </c>
      <c r="AH11" s="69">
        <v>9.25</v>
      </c>
      <c r="AI11" s="14">
        <f>0%</f>
        <v>0</v>
      </c>
    </row>
    <row r="12" spans="1:108" ht="16.5">
      <c r="A12" s="13" t="s">
        <v>119</v>
      </c>
      <c r="B12" s="69">
        <v>10.11</v>
      </c>
      <c r="C12" s="14">
        <v>3.9721946375371542E-3</v>
      </c>
      <c r="E12" s="13" t="s">
        <v>119</v>
      </c>
      <c r="F12" s="69">
        <v>10.94</v>
      </c>
      <c r="G12" s="14">
        <v>0</v>
      </c>
      <c r="I12" s="13" t="s">
        <v>119</v>
      </c>
      <c r="J12" s="69">
        <v>11.8</v>
      </c>
      <c r="K12" s="14">
        <v>0</v>
      </c>
      <c r="M12" s="13" t="s">
        <v>119</v>
      </c>
      <c r="N12" s="69">
        <v>12.84</v>
      </c>
      <c r="O12" s="14">
        <v>3.1249999999999334E-3</v>
      </c>
      <c r="Q12" s="13" t="s">
        <v>119</v>
      </c>
      <c r="R12" s="69">
        <v>6.31</v>
      </c>
      <c r="S12" s="14">
        <v>-2.7734976887519351E-2</v>
      </c>
      <c r="U12" s="13" t="s">
        <v>119</v>
      </c>
      <c r="V12" s="69">
        <v>11.7</v>
      </c>
      <c r="W12" s="14">
        <v>-1.5151515151515277E-2</v>
      </c>
      <c r="Y12" s="13" t="s">
        <v>119</v>
      </c>
      <c r="Z12" s="69">
        <v>7.9</v>
      </c>
      <c r="AA12" s="14">
        <v>-1.2499999999999956E-2</v>
      </c>
      <c r="AC12" s="13" t="s">
        <v>119</v>
      </c>
      <c r="AD12" s="69">
        <v>9.4</v>
      </c>
      <c r="AE12" s="14">
        <v>-8.3999999999999995E-3</v>
      </c>
      <c r="AG12" s="13" t="s">
        <v>119</v>
      </c>
      <c r="AH12" s="69">
        <v>9.25</v>
      </c>
      <c r="AI12" s="14">
        <f>0%</f>
        <v>0</v>
      </c>
    </row>
    <row r="13" spans="1:108" s="22" customFormat="1" ht="17.25" thickBot="1">
      <c r="A13" s="20" t="s">
        <v>120</v>
      </c>
      <c r="B13" s="70">
        <v>10.199999999999999</v>
      </c>
      <c r="C13" s="21">
        <v>1.2909632571995929E-2</v>
      </c>
      <c r="E13" s="20" t="s">
        <v>120</v>
      </c>
      <c r="F13" s="70">
        <v>10.93</v>
      </c>
      <c r="G13" s="21">
        <v>-9.1407678244970637E-4</v>
      </c>
      <c r="I13" s="20" t="s">
        <v>120</v>
      </c>
      <c r="J13" s="70">
        <v>11.77</v>
      </c>
      <c r="K13" s="21">
        <v>-2.5423728813560283E-3</v>
      </c>
      <c r="M13" s="20" t="s">
        <v>120</v>
      </c>
      <c r="N13" s="70">
        <v>12.8</v>
      </c>
      <c r="O13" s="21">
        <v>0</v>
      </c>
      <c r="Q13" s="20" t="s">
        <v>120</v>
      </c>
      <c r="R13" s="70">
        <v>6.32</v>
      </c>
      <c r="S13" s="21">
        <v>-2.6194144838212623E-2</v>
      </c>
      <c r="U13" s="20" t="s">
        <v>120</v>
      </c>
      <c r="V13" s="70">
        <v>11.88</v>
      </c>
      <c r="W13" s="21">
        <v>0</v>
      </c>
      <c r="Y13" s="20" t="s">
        <v>120</v>
      </c>
      <c r="Z13" s="70">
        <v>7.9</v>
      </c>
      <c r="AA13" s="21">
        <v>-1.2499999999999956E-2</v>
      </c>
      <c r="AC13" s="20" t="s">
        <v>120</v>
      </c>
      <c r="AD13" s="70">
        <v>9.44</v>
      </c>
      <c r="AE13" s="21">
        <v>-4.2194092827005196E-3</v>
      </c>
      <c r="AG13" s="20" t="s">
        <v>120</v>
      </c>
      <c r="AH13" s="70">
        <v>9.25</v>
      </c>
      <c r="AI13" s="21">
        <f>0%</f>
        <v>0</v>
      </c>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row>
    <row r="14" spans="1:108" ht="17.25" thickTop="1">
      <c r="A14" s="13"/>
      <c r="B14" s="69"/>
      <c r="C14" s="14"/>
      <c r="E14" s="13"/>
      <c r="F14" s="69"/>
      <c r="G14" s="14"/>
      <c r="I14" s="106" t="s">
        <v>121</v>
      </c>
      <c r="J14" s="106"/>
      <c r="K14" s="106"/>
      <c r="L14" s="106"/>
      <c r="M14" s="106"/>
      <c r="N14" s="106"/>
      <c r="O14" s="106"/>
      <c r="P14" s="106"/>
      <c r="Q14" s="13"/>
      <c r="R14" s="69"/>
      <c r="S14" s="14"/>
      <c r="U14" s="13"/>
      <c r="V14" s="69"/>
      <c r="W14" s="14"/>
      <c r="Y14" s="13"/>
      <c r="Z14" s="69"/>
      <c r="AA14" s="14"/>
      <c r="AC14" s="13"/>
      <c r="AD14" s="69"/>
      <c r="AE14" s="14"/>
      <c r="AG14" s="13"/>
      <c r="AH14" s="69"/>
      <c r="AI14" s="14"/>
    </row>
    <row r="15" spans="1:108" ht="16.5">
      <c r="A15" s="13"/>
      <c r="B15" s="69"/>
      <c r="C15" s="14"/>
      <c r="E15" s="13"/>
      <c r="F15" s="69"/>
      <c r="G15" s="14"/>
      <c r="I15" s="13"/>
      <c r="J15" s="69"/>
      <c r="K15" s="14"/>
      <c r="M15" s="13"/>
      <c r="N15" s="69"/>
      <c r="O15" s="14"/>
      <c r="Q15" s="13"/>
      <c r="R15" s="69"/>
      <c r="S15" s="14"/>
      <c r="U15" s="13"/>
      <c r="V15" s="69"/>
      <c r="W15" s="14"/>
      <c r="Y15" s="13"/>
      <c r="Z15" s="69"/>
      <c r="AA15" s="14"/>
      <c r="AC15" s="13"/>
      <c r="AD15" s="69"/>
      <c r="AE15" s="14"/>
      <c r="AG15" s="13"/>
      <c r="AH15" s="69"/>
      <c r="AI15" s="14"/>
    </row>
    <row r="18" spans="1:10" ht="15.75">
      <c r="B18" s="45"/>
      <c r="C18" s="45"/>
      <c r="D18" s="45"/>
      <c r="E18" s="45"/>
      <c r="F18" s="45"/>
      <c r="G18" s="45"/>
      <c r="H18" s="45"/>
      <c r="I18" s="45"/>
      <c r="J18" s="45"/>
    </row>
    <row r="19" spans="1:10" ht="15.75">
      <c r="A19" s="47"/>
      <c r="B19" s="2"/>
      <c r="C19" s="2"/>
      <c r="D19" s="2"/>
      <c r="E19" s="2"/>
      <c r="F19" s="2"/>
      <c r="G19" s="2"/>
      <c r="H19" s="2"/>
      <c r="I19" s="2"/>
      <c r="J19" s="2"/>
    </row>
    <row r="20" spans="1:10" ht="16.5">
      <c r="A20" s="48"/>
      <c r="B20" s="46"/>
      <c r="C20" s="46"/>
    </row>
    <row r="21" spans="1:10" ht="16.5">
      <c r="A21" s="13"/>
      <c r="B21" s="71"/>
      <c r="C21" s="14"/>
    </row>
    <row r="22" spans="1:10" ht="16.5">
      <c r="A22" s="13"/>
      <c r="B22" s="72"/>
      <c r="C22" s="14"/>
    </row>
    <row r="23" spans="1:10" ht="16.5">
      <c r="A23" s="13"/>
      <c r="B23" s="69"/>
      <c r="C23" s="14"/>
    </row>
    <row r="24" spans="1:10" ht="16.5">
      <c r="A24" s="13"/>
      <c r="B24" s="69"/>
      <c r="C24" s="14"/>
    </row>
    <row r="25" spans="1:10" ht="16.5">
      <c r="A25" s="13"/>
      <c r="B25" s="69"/>
      <c r="C25" s="14"/>
    </row>
    <row r="26" spans="1:10" ht="16.5">
      <c r="A26" s="13"/>
      <c r="B26" s="69"/>
      <c r="C26" s="14"/>
    </row>
    <row r="27" spans="1:10" ht="16.5">
      <c r="A27" s="13"/>
      <c r="B27" s="69"/>
      <c r="C27" s="14"/>
    </row>
    <row r="28" spans="1:10" ht="16.5">
      <c r="A28" s="13"/>
      <c r="B28" s="69"/>
      <c r="C28" s="14"/>
    </row>
    <row r="29" spans="1:10" ht="16.5">
      <c r="A29" s="13"/>
      <c r="B29" s="69"/>
      <c r="C29" s="14"/>
    </row>
    <row r="30" spans="1:10" ht="16.5">
      <c r="A30" s="13"/>
      <c r="B30" s="69"/>
      <c r="C30" s="14"/>
    </row>
    <row r="31" spans="1:10" ht="16.5">
      <c r="A31" s="13"/>
      <c r="B31" s="69"/>
      <c r="C31" s="14"/>
    </row>
    <row r="32" spans="1:10" ht="16.5">
      <c r="A32" s="13"/>
      <c r="B32" s="69"/>
      <c r="C32" s="14"/>
    </row>
  </sheetData>
  <mergeCells count="10">
    <mergeCell ref="Y1:AA1"/>
    <mergeCell ref="AC1:AE1"/>
    <mergeCell ref="AG1:AI1"/>
    <mergeCell ref="I14:P14"/>
    <mergeCell ref="A1:C1"/>
    <mergeCell ref="E1:G1"/>
    <mergeCell ref="I1:K1"/>
    <mergeCell ref="M1:O1"/>
    <mergeCell ref="Q1:S1"/>
    <mergeCell ref="U1:W1"/>
  </mergeCells>
  <phoneticPr fontId="6"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Students ' Information</vt:lpstr>
      <vt:lpstr>Dashboard</vt:lpstr>
      <vt:lpstr>Portfolio Daily Return</vt:lpstr>
      <vt:lpstr>KPIs</vt:lpstr>
      <vt:lpstr>KRIs</vt:lpstr>
      <vt:lpstr>Daily Stocks Performance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Malek</dc:creator>
  <cp:keywords/>
  <dc:description/>
  <cp:lastModifiedBy>arfaouieya</cp:lastModifiedBy>
  <cp:revision/>
  <dcterms:created xsi:type="dcterms:W3CDTF">2015-06-05T18:17:20Z</dcterms:created>
  <dcterms:modified xsi:type="dcterms:W3CDTF">2025-02-16T13:48:30Z</dcterms:modified>
  <cp:category/>
  <cp:contentStatus/>
</cp:coreProperties>
</file>