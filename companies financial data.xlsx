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hetn-my.sharepoint.com/personal/arfaouieya_tbs_u-tunis_tn/Documents/FM PROJECT/"/>
    </mc:Choice>
  </mc:AlternateContent>
  <xr:revisionPtr revIDLastSave="196" documentId="8_{E776D8EB-E271-422D-85FC-AC7C72E0851B}" xr6:coauthVersionLast="47" xr6:coauthVersionMax="47" xr10:uidLastSave="{5907FF55-3552-4C7E-8873-2A5EB0A1583A}"/>
  <bookViews>
    <workbookView xWindow="-120" yWindow="-120" windowWidth="20730" windowHeight="11160" tabRatio="646" xr2:uid="{3B621A48-6F0D-4363-A707-8E83C93AA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G12" i="1" l="1"/>
  <c r="F12" i="1"/>
  <c r="E12" i="1"/>
  <c r="D12" i="1"/>
  <c r="C12" i="1"/>
  <c r="G6" i="1"/>
  <c r="F6" i="1"/>
  <c r="E6" i="1"/>
  <c r="D6" i="1"/>
  <c r="C6" i="1"/>
  <c r="G10" i="1" l="1"/>
  <c r="G5" i="1"/>
  <c r="G4" i="1"/>
  <c r="G3" i="1"/>
  <c r="F10" i="1"/>
  <c r="F5" i="1"/>
  <c r="F4" i="1"/>
  <c r="F3" i="1"/>
  <c r="E10" i="1"/>
  <c r="E4" i="1"/>
  <c r="E5" i="1"/>
  <c r="D10" i="1"/>
  <c r="D5" i="1"/>
  <c r="D4" i="1"/>
  <c r="C10" i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tc={2550C6F3-6D3D-43BA-99FE-6539CEEA8C05}</author>
    <author>tc={74C7DAC3-F3A1-4250-BB5A-E43B2260114E}</author>
    <author>tc={3D88CF53-0D2A-44F5-A0F9-421FB00CB361}</author>
  </authors>
  <commentList>
    <comment ref="K2" authorId="0" shapeId="0" xr:uid="{2550C6F3-6D3D-43BA-99FE-6539CEEA8C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VALUES PROVIDED FROM PORTFOLIO RETURNS SHEET</t>
      </text>
    </comment>
    <comment ref="D26" authorId="1" shapeId="0" xr:uid="{74C7DAC3-F3A1-4250-BB5A-E43B2260114E}">
      <text>
        <t>[Threaded comment]
Your version of Excel allows you to read this threaded comment; however, any edits to it will get removed if the file is opened in a newer version of Excel. Learn more: https://go.microsoft.com/fwlink/?linkid=870924
Comment:
    (-) NI and EQUITY</t>
      </text>
    </comment>
    <comment ref="G26" authorId="2" shapeId="0" xr:uid="{3D88CF53-0D2A-44F5-A0F9-421FB00CB361}">
      <text>
        <t>[Threaded comment]
Your version of Excel allows you to read this threaded comment; however, any edits to it will get removed if the file is opened in a newer version of Excel. Learn more: https://go.microsoft.com/fwlink/?linkid=870924
Comment:
    VERY HIGH LEVEL OF DEBT COMPARED TO EQUITY</t>
      </text>
    </comment>
  </commentList>
</comments>
</file>

<file path=xl/sharedStrings.xml><?xml version="1.0" encoding="utf-8"?>
<sst xmlns="http://schemas.openxmlformats.org/spreadsheetml/2006/main" count="96" uniqueCount="96">
  <si>
    <t>E/S</t>
  </si>
  <si>
    <t>DELTA REVENUE</t>
  </si>
  <si>
    <t>CURRENT RATIO</t>
  </si>
  <si>
    <t>DEBT RATIO</t>
  </si>
  <si>
    <t>PROFIT MARGIN</t>
  </si>
  <si>
    <t>ROE</t>
  </si>
  <si>
    <t>ATB(31/12/2023)</t>
  </si>
  <si>
    <t>BNA(31/12/2023)</t>
  </si>
  <si>
    <t>STB(31/12/2023)</t>
  </si>
  <si>
    <t>WIFAK BANK(31/12/2022)</t>
  </si>
  <si>
    <t>SOTUVER SA(30/06/2024)</t>
  </si>
  <si>
    <t>SCB(30/06/2024)</t>
  </si>
  <si>
    <t>P/E(company/sector)</t>
  </si>
  <si>
    <t>0.17/0.55</t>
  </si>
  <si>
    <t>0.14/0.37</t>
  </si>
  <si>
    <t>SHARPE RATIO</t>
  </si>
  <si>
    <t>RISK ANALYSIS</t>
  </si>
  <si>
    <t>FUNDAMENTAL ANALYSIS</t>
  </si>
  <si>
    <t>BETA(company/sector)</t>
  </si>
  <si>
    <t>x/0.55</t>
  </si>
  <si>
    <t>(-0.04)/0.54</t>
  </si>
  <si>
    <t>0.61/0.54</t>
  </si>
  <si>
    <t>(-0.2)/0.37</t>
  </si>
  <si>
    <t>0.23/0.55</t>
  </si>
  <si>
    <t>0.15/0.37</t>
  </si>
  <si>
    <t>0.25/0.37</t>
  </si>
  <si>
    <t>0.39/0.37</t>
  </si>
  <si>
    <t>0.04/0.55</t>
  </si>
  <si>
    <t>0.189/0.55</t>
  </si>
  <si>
    <t>0.07/0.55</t>
  </si>
  <si>
    <t>0.069/0.68</t>
  </si>
  <si>
    <t>0.3/0.68</t>
  </si>
  <si>
    <t>x/0.72</t>
  </si>
  <si>
    <t>0.21/0.55</t>
  </si>
  <si>
    <t>0.166/0.68</t>
  </si>
  <si>
    <t>0.667/0.68</t>
  </si>
  <si>
    <t>0.216/0.68</t>
  </si>
  <si>
    <t>0.178/0.54</t>
  </si>
  <si>
    <t>0.066/0.54</t>
  </si>
  <si>
    <t>(-0.014)/0.54</t>
  </si>
  <si>
    <t>0.014/0.54</t>
  </si>
  <si>
    <t>(-0.047)/0.54</t>
  </si>
  <si>
    <t>0.298/0.54</t>
  </si>
  <si>
    <t>0.12/0.54</t>
  </si>
  <si>
    <t>BT(31/12/2023)</t>
  </si>
  <si>
    <t>AMV(31/31/2023)</t>
  </si>
  <si>
    <t>TRE(31/31/2023)</t>
  </si>
  <si>
    <t>OTH(31/31/2023)</t>
  </si>
  <si>
    <t>SMART(31/31/2023)</t>
  </si>
  <si>
    <t>MPBS(31/31/2023)</t>
  </si>
  <si>
    <t>STPAP(31/31/2023)</t>
  </si>
  <si>
    <t>ARTES(31/31/2023)</t>
  </si>
  <si>
    <t>NAKL(31/31/2023)</t>
  </si>
  <si>
    <t>TPR(31/31/2023)</t>
  </si>
  <si>
    <t>SAH(31/31/2023)</t>
  </si>
  <si>
    <t>POULA(31/31/2023)</t>
  </si>
  <si>
    <t>LNDR(31/31/2023)</t>
  </si>
  <si>
    <t>SFBT(31/31/2023)</t>
  </si>
  <si>
    <t>DH(31/31/2023)</t>
  </si>
  <si>
    <t>SMG(31/31/2023)</t>
  </si>
  <si>
    <t>MGR(31/31/2023)</t>
  </si>
  <si>
    <t>TINV(31/31/2023)</t>
  </si>
  <si>
    <t>SPDI(31/31/2023)</t>
  </si>
  <si>
    <r>
      <t>(-2.48)/8.7</t>
    </r>
    <r>
      <rPr>
        <sz val="11"/>
        <color theme="1"/>
        <rFont val="Aptos Narrow"/>
        <family val="2"/>
      </rPr>
      <t>×</t>
    </r>
  </si>
  <si>
    <t>2.34/8.7×</t>
  </si>
  <si>
    <t>8.37/8.7×</t>
  </si>
  <si>
    <t>42.32/8.7×</t>
  </si>
  <si>
    <t>7.44/8.7×</t>
  </si>
  <si>
    <t>7.2/8.7×</t>
  </si>
  <si>
    <t>8.63/8.7×</t>
  </si>
  <si>
    <t>10.31/(-0.1)×</t>
  </si>
  <si>
    <t>(-3.5)/(-0.1)×</t>
  </si>
  <si>
    <t>10.24/(-0.1)×</t>
  </si>
  <si>
    <t>18.5/11.7×</t>
  </si>
  <si>
    <t>9.4/11.1×</t>
  </si>
  <si>
    <r>
      <t>0.1/(-0</t>
    </r>
    <r>
      <rPr>
        <b/>
        <sz val="11"/>
        <color theme="1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1)×</t>
    </r>
  </si>
  <si>
    <t>5.88/(-0.1)×</t>
  </si>
  <si>
    <t>11.4/10.6×</t>
  </si>
  <si>
    <t>7.8/10.6×</t>
  </si>
  <si>
    <t>6.65/11.7×</t>
  </si>
  <si>
    <t>(-7.8)/10.6×</t>
  </si>
  <si>
    <t>15.7/11.4×</t>
  </si>
  <si>
    <t>10.9/11.8×</t>
  </si>
  <si>
    <t>21.1/11.4×</t>
  </si>
  <si>
    <t>11.2/11.4×</t>
  </si>
  <si>
    <t>9/11.4×</t>
  </si>
  <si>
    <t>(-3.1)/10.6×</t>
  </si>
  <si>
    <t>11.3/11.4×</t>
  </si>
  <si>
    <t>6.8/8.7×</t>
  </si>
  <si>
    <t>10.13/8.7×</t>
  </si>
  <si>
    <t>D/E RATIO</t>
  </si>
  <si>
    <t>10 CHOSEN STOCKS</t>
  </si>
  <si>
    <r>
      <rPr>
        <b/>
        <u/>
        <sz val="11"/>
        <color theme="1"/>
        <rFont val="Aptos Narrow"/>
        <family val="2"/>
        <scheme val="minor"/>
      </rPr>
      <t>STIP(31/31/2023</t>
    </r>
    <r>
      <rPr>
        <u/>
        <sz val="11"/>
        <color theme="1"/>
        <rFont val="Aptos Narrow"/>
        <family val="2"/>
        <scheme val="minor"/>
      </rPr>
      <t>)</t>
    </r>
  </si>
  <si>
    <t>BOLD AND UNDERLINED</t>
  </si>
  <si>
    <t>20 CHOSEN STOCKS</t>
  </si>
  <si>
    <t xml:space="preserve">CC(30/06/2024)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</si>
</sst>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\|0.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0" fillId="4" borderId="0" xfId="0" applyFill="1" applyAlignment="1">
      <alignment horizontal="left" indent="34"/>
    </xf>
    <xf numFmtId="0" fontId="3" fillId="5" borderId="0" xfId="0" applyFont="1" applyFill="1" applyAlignment="1">
      <alignment horizontal="left" indent="12"/>
    </xf>
    <xf numFmtId="0" fontId="1" fillId="4" borderId="0" xfId="0" applyFont="1" applyFill="1" applyAlignment="1">
      <alignment horizontal="left" indent="34"/>
    </xf>
    <xf numFmtId="0" fontId="1" fillId="5" borderId="0" xfId="0" applyFont="1" applyFill="1" applyAlignment="1">
      <alignment horizontal="left" indent="12"/>
    </xf>
    <xf numFmtId="0" fontId="0" fillId="0" borderId="1" xfId="0" applyBorder="1"/>
    <xf numFmtId="0" fontId="0" fillId="2" borderId="1" xfId="0" applyFill="1" applyBorder="1"/>
    <xf numFmtId="2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2" fontId="0" fillId="6" borderId="1" xfId="0" applyNumberFormat="1" applyFill="1" applyBorder="1"/>
    <xf numFmtId="9" fontId="0" fillId="0" borderId="1" xfId="0" applyNumberFormat="1" applyBorder="1"/>
    <xf numFmtId="0" fontId="5" fillId="3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faouieya" id="{F93723E8-FC91-4016-A82B-4B0DF91FA2E4}" userId="S::arfaouieya@tbs.u-tunis.tn::44632b0b-5772-47fc-afcf-be182c2b64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4-12-22T23:49:04.96" personId="{F93723E8-FC91-4016-A82B-4B0DF91FA2E4}" id="{2550C6F3-6D3D-43BA-99FE-6539CEEA8C05}">
    <text>VALUES PROVIDED FROM PORTFOLIO RETURNS SHEET</text>
  </threadedComment>
  <threadedComment ref="D26" dT="2024-12-24T11:11:36.05" personId="{F93723E8-FC91-4016-A82B-4B0DF91FA2E4}" id="{74C7DAC3-F3A1-4250-BB5A-E43B2260114E}">
    <text>(-) NI and EQUITY</text>
  </threadedComment>
  <threadedComment ref="G26" dT="2024-12-24T11:13:54.63" personId="{F93723E8-FC91-4016-A82B-4B0DF91FA2E4}" id="{3D88CF53-0D2A-44F5-A0F9-421FB00CB361}">
    <text>VERY HIGH LEVEL OF DEBT COMPARED TO EQUITY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45A8-F278-4910-82D5-EFCE77A166A9}">
  <dimension ref="A1:N29"/>
  <sheetViews>
    <sheetView tabSelected="1" zoomScale="87" zoomScaleNormal="87" workbookViewId="0">
      <selection activeCell="J4" sqref="J4"/>
    </sheetView>
  </sheetViews>
  <sheetFormatPr defaultRowHeight="15" x14ac:dyDescent="0.25"/>
  <cols>
    <col min="1" max="1" width="24.140625" customWidth="1"/>
    <col min="2" max="2" width="13.42578125" customWidth="1"/>
    <col min="3" max="3" width="14.28515625" customWidth="1"/>
    <col min="4" max="4" width="10.5703125" customWidth="1"/>
    <col min="5" max="5" width="15.140625" customWidth="1"/>
    <col min="6" max="6" width="14.5703125" customWidth="1"/>
    <col min="7" max="7" width="11.42578125" customWidth="1"/>
    <col min="8" max="8" width="9.85546875" customWidth="1"/>
    <col min="9" max="9" width="26.85546875" customWidth="1"/>
    <col min="10" max="10" width="27.42578125" customWidth="1"/>
    <col min="11" max="11" width="18.5703125" customWidth="1"/>
    <col min="13" max="13" width="21.85546875" customWidth="1"/>
  </cols>
  <sheetData>
    <row r="1" spans="1:14" x14ac:dyDescent="0.25">
      <c r="B1" s="4" t="s">
        <v>17</v>
      </c>
      <c r="C1" s="2"/>
      <c r="D1" s="2"/>
      <c r="E1" s="2"/>
      <c r="F1" s="2"/>
      <c r="G1" s="2"/>
      <c r="H1" s="2"/>
      <c r="I1" s="2"/>
      <c r="J1" s="5" t="s">
        <v>16</v>
      </c>
      <c r="K1" s="3"/>
    </row>
    <row r="2" spans="1:14" x14ac:dyDescent="0.25">
      <c r="B2" s="7" t="s">
        <v>0</v>
      </c>
      <c r="C2" s="7" t="s">
        <v>4</v>
      </c>
      <c r="D2" s="7" t="s">
        <v>5</v>
      </c>
      <c r="E2" s="7" t="s">
        <v>1</v>
      </c>
      <c r="F2" s="7" t="s">
        <v>2</v>
      </c>
      <c r="G2" s="7" t="s">
        <v>3</v>
      </c>
      <c r="H2" s="7" t="s">
        <v>90</v>
      </c>
      <c r="I2" s="7" t="s">
        <v>12</v>
      </c>
      <c r="J2" s="7" t="s">
        <v>18</v>
      </c>
      <c r="K2" s="7" t="s">
        <v>15</v>
      </c>
    </row>
    <row r="3" spans="1:14" x14ac:dyDescent="0.25">
      <c r="A3" s="7" t="s">
        <v>6</v>
      </c>
      <c r="B3" s="8">
        <v>-1.2</v>
      </c>
      <c r="C3" s="9">
        <v>-2.0000000000000001E-4</v>
      </c>
      <c r="D3" s="9">
        <v>-2.9999999999999997E-4</v>
      </c>
      <c r="E3" s="9">
        <v>0.1095</v>
      </c>
      <c r="F3" s="8">
        <f>1.01</f>
        <v>1.01</v>
      </c>
      <c r="G3" s="9">
        <f>0.916</f>
        <v>0.91600000000000004</v>
      </c>
      <c r="H3" s="8">
        <v>12.53</v>
      </c>
      <c r="I3" s="10" t="s">
        <v>63</v>
      </c>
      <c r="J3" s="8" t="s">
        <v>43</v>
      </c>
      <c r="K3" s="11">
        <v>-0.28906511339982066</v>
      </c>
      <c r="M3" s="1"/>
      <c r="N3" t="s">
        <v>91</v>
      </c>
    </row>
    <row r="4" spans="1:14" x14ac:dyDescent="0.25">
      <c r="A4" s="15" t="s">
        <v>7</v>
      </c>
      <c r="B4" s="8">
        <v>3.34</v>
      </c>
      <c r="C4" s="9">
        <v>9.8699999999999996E-2</v>
      </c>
      <c r="D4" s="9">
        <f>0.1042</f>
        <v>0.1042</v>
      </c>
      <c r="E4" s="9">
        <f>0.197</f>
        <v>0.19700000000000001</v>
      </c>
      <c r="F4" s="8">
        <f>0.87</f>
        <v>0.87</v>
      </c>
      <c r="G4" s="9">
        <f>0.9</f>
        <v>0.9</v>
      </c>
      <c r="H4" s="8">
        <v>10.48</v>
      </c>
      <c r="I4" s="10" t="s">
        <v>64</v>
      </c>
      <c r="J4" s="8" t="s">
        <v>42</v>
      </c>
      <c r="K4" s="11">
        <v>-0.11534400644926306</v>
      </c>
      <c r="M4" s="17" t="s">
        <v>93</v>
      </c>
      <c r="N4" t="s">
        <v>94</v>
      </c>
    </row>
    <row r="5" spans="1:14" x14ac:dyDescent="0.25">
      <c r="A5" s="7" t="s">
        <v>8</v>
      </c>
      <c r="B5" s="8">
        <v>0.5</v>
      </c>
      <c r="C5" s="9">
        <f>0.0351</f>
        <v>3.5099999999999999E-2</v>
      </c>
      <c r="D5" s="9">
        <f>0.0389</f>
        <v>3.8899999999999997E-2</v>
      </c>
      <c r="E5" s="9">
        <f>0.108</f>
        <v>0.108</v>
      </c>
      <c r="F5" s="8">
        <f>0.96</f>
        <v>0.96</v>
      </c>
      <c r="G5" s="9">
        <f>0.887</f>
        <v>0.88700000000000001</v>
      </c>
      <c r="H5" s="8">
        <v>10.06</v>
      </c>
      <c r="I5" s="10" t="s">
        <v>65</v>
      </c>
      <c r="J5" s="8" t="s">
        <v>41</v>
      </c>
      <c r="K5" s="11">
        <v>-0.48277331055214068</v>
      </c>
    </row>
    <row r="6" spans="1:14" x14ac:dyDescent="0.25">
      <c r="A6" s="15" t="s">
        <v>9</v>
      </c>
      <c r="B6" s="8">
        <v>0.21129999999999999</v>
      </c>
      <c r="C6" s="9">
        <f>0.0575</f>
        <v>5.7500000000000002E-2</v>
      </c>
      <c r="D6" s="9">
        <f>0.039</f>
        <v>3.9E-2</v>
      </c>
      <c r="E6" s="9">
        <f>0.3202</f>
        <v>0.32019999999999998</v>
      </c>
      <c r="F6" s="8">
        <f>0.217</f>
        <v>0.217</v>
      </c>
      <c r="G6" s="9">
        <f>0.87</f>
        <v>0.87</v>
      </c>
      <c r="H6" s="8">
        <v>6.52</v>
      </c>
      <c r="I6" s="10" t="s">
        <v>66</v>
      </c>
      <c r="J6" s="8" t="s">
        <v>40</v>
      </c>
      <c r="K6" s="11">
        <v>-9.3521280641164023E-2</v>
      </c>
    </row>
    <row r="7" spans="1:14" x14ac:dyDescent="0.25">
      <c r="A7" s="7" t="s">
        <v>44</v>
      </c>
      <c r="B7" s="8">
        <v>0.67</v>
      </c>
      <c r="C7" s="9">
        <v>0.24510000000000001</v>
      </c>
      <c r="D7" s="9">
        <v>0.1234</v>
      </c>
      <c r="E7" s="9">
        <v>0.17960000000000001</v>
      </c>
      <c r="F7" s="8">
        <v>1.1499999999999999</v>
      </c>
      <c r="G7" s="9">
        <v>0.82410000000000005</v>
      </c>
      <c r="H7" s="8">
        <v>4.6900000000000004</v>
      </c>
      <c r="I7" s="10" t="s">
        <v>67</v>
      </c>
      <c r="J7" s="8" t="s">
        <v>39</v>
      </c>
      <c r="K7" s="11">
        <v>-0.25833286337723482</v>
      </c>
    </row>
    <row r="8" spans="1:14" x14ac:dyDescent="0.25">
      <c r="A8" s="15" t="s">
        <v>45</v>
      </c>
      <c r="B8" s="8">
        <v>7.32</v>
      </c>
      <c r="C8" s="9">
        <v>9.2399999999999996E-2</v>
      </c>
      <c r="D8" s="9">
        <v>0.16600000000000001</v>
      </c>
      <c r="E8" s="9">
        <v>8.6999999999999994E-2</v>
      </c>
      <c r="F8" s="8">
        <v>1.1000000000000001</v>
      </c>
      <c r="G8" s="9">
        <v>0.8165</v>
      </c>
      <c r="H8" s="8">
        <v>4.45</v>
      </c>
      <c r="I8" s="10" t="s">
        <v>68</v>
      </c>
      <c r="J8" s="8" t="s">
        <v>38</v>
      </c>
      <c r="K8" s="11">
        <v>-7.4414868736468548E-2</v>
      </c>
    </row>
    <row r="9" spans="1:14" x14ac:dyDescent="0.25">
      <c r="A9" s="15" t="s">
        <v>46</v>
      </c>
      <c r="B9" s="8">
        <v>0.87</v>
      </c>
      <c r="C9" s="9">
        <v>0.127</v>
      </c>
      <c r="D9" s="9">
        <v>8.5000000000000006E-2</v>
      </c>
      <c r="E9" s="9">
        <v>-7.6999999999999999E-2</v>
      </c>
      <c r="F9" s="8">
        <v>0.86</v>
      </c>
      <c r="G9" s="9">
        <v>0.7339</v>
      </c>
      <c r="H9" s="8">
        <v>2.75</v>
      </c>
      <c r="I9" s="10" t="s">
        <v>69</v>
      </c>
      <c r="J9" s="8" t="s">
        <v>37</v>
      </c>
      <c r="K9" s="11">
        <v>-0.11574314005242019</v>
      </c>
    </row>
    <row r="10" spans="1:14" x14ac:dyDescent="0.25">
      <c r="A10" s="7" t="s">
        <v>95</v>
      </c>
      <c r="B10" s="8">
        <v>0.10299999999999999</v>
      </c>
      <c r="C10" s="9">
        <f>0.1639</f>
        <v>0.16389999999999999</v>
      </c>
      <c r="D10" s="9">
        <f>0.1207</f>
        <v>0.1207</v>
      </c>
      <c r="E10" s="9">
        <f>0.0101</f>
        <v>1.01E-2</v>
      </c>
      <c r="F10" s="8">
        <f>1.035</f>
        <v>1.0349999999999999</v>
      </c>
      <c r="G10" s="9">
        <f>0.665</f>
        <v>0.66500000000000004</v>
      </c>
      <c r="H10" s="8">
        <v>1.9970000000000001</v>
      </c>
      <c r="I10" s="10" t="s">
        <v>70</v>
      </c>
      <c r="J10" s="8" t="s">
        <v>36</v>
      </c>
      <c r="K10" s="11">
        <v>-0.31559813431778827</v>
      </c>
    </row>
    <row r="11" spans="1:14" x14ac:dyDescent="0.25">
      <c r="A11" s="7" t="s">
        <v>11</v>
      </c>
      <c r="B11" s="8">
        <v>-0.61</v>
      </c>
      <c r="C11" s="9">
        <f>-0.1381</f>
        <v>-0.1381</v>
      </c>
      <c r="D11" s="9">
        <f>-0.17</f>
        <v>-0.17</v>
      </c>
      <c r="E11" s="9">
        <f>-0.5943</f>
        <v>-0.59430000000000005</v>
      </c>
      <c r="F11" s="8">
        <f>0.27</f>
        <v>0.27</v>
      </c>
      <c r="G11" s="9">
        <f>0.6</f>
        <v>0.6</v>
      </c>
      <c r="H11" s="8">
        <v>1.48</v>
      </c>
      <c r="I11" s="10" t="s">
        <v>71</v>
      </c>
      <c r="J11" s="8" t="s">
        <v>35</v>
      </c>
      <c r="K11" s="11">
        <v>-0.85775734169226447</v>
      </c>
    </row>
    <row r="12" spans="1:14" x14ac:dyDescent="0.25">
      <c r="A12" s="14" t="s">
        <v>10</v>
      </c>
      <c r="B12" s="8">
        <v>0.156</v>
      </c>
      <c r="C12" s="9">
        <f>0.1217</f>
        <v>0.1217</v>
      </c>
      <c r="D12" s="9">
        <f>0.0541</f>
        <v>5.4100000000000002E-2</v>
      </c>
      <c r="E12" s="9">
        <f>-0.388</f>
        <v>-0.38800000000000001</v>
      </c>
      <c r="F12" s="8">
        <f>0.74</f>
        <v>0.74</v>
      </c>
      <c r="G12" s="9">
        <f>0.66</f>
        <v>0.66</v>
      </c>
      <c r="H12" s="8">
        <v>1.96</v>
      </c>
      <c r="I12" s="10" t="s">
        <v>72</v>
      </c>
      <c r="J12" s="8" t="s">
        <v>34</v>
      </c>
      <c r="K12" s="11">
        <v>0.3074143438361544</v>
      </c>
    </row>
    <row r="13" spans="1:14" x14ac:dyDescent="0.25">
      <c r="A13" s="14" t="s">
        <v>47</v>
      </c>
      <c r="B13" s="8">
        <v>0.51</v>
      </c>
      <c r="C13" s="9">
        <v>3.8699999999999998E-2</v>
      </c>
      <c r="D13" s="9">
        <v>9.9900000000000003E-2</v>
      </c>
      <c r="E13" s="9">
        <v>5.3999999999999999E-2</v>
      </c>
      <c r="F13" s="8">
        <v>1.99</v>
      </c>
      <c r="G13" s="9">
        <v>0.43780000000000002</v>
      </c>
      <c r="H13" s="8">
        <v>0.77</v>
      </c>
      <c r="I13" s="10" t="s">
        <v>73</v>
      </c>
      <c r="J13" s="8" t="s">
        <v>33</v>
      </c>
      <c r="K13" s="11">
        <v>0.12958094098679176</v>
      </c>
    </row>
    <row r="14" spans="1:14" x14ac:dyDescent="0.25">
      <c r="A14" s="7" t="s">
        <v>48</v>
      </c>
      <c r="B14" s="8">
        <v>1.61</v>
      </c>
      <c r="C14" s="9">
        <v>4.6199999999999998E-2</v>
      </c>
      <c r="D14" s="9">
        <v>0.157</v>
      </c>
      <c r="E14" s="9">
        <v>6.7999999999999996E-3</v>
      </c>
      <c r="F14" s="8">
        <v>1.54</v>
      </c>
      <c r="G14" s="9">
        <v>0.497</v>
      </c>
      <c r="H14" s="8">
        <v>0.98</v>
      </c>
      <c r="I14" s="10" t="s">
        <v>74</v>
      </c>
      <c r="J14" s="12" t="s">
        <v>32</v>
      </c>
      <c r="K14" s="11">
        <v>-0.29274466887155998</v>
      </c>
    </row>
    <row r="15" spans="1:14" x14ac:dyDescent="0.25">
      <c r="A15" s="14" t="s">
        <v>49</v>
      </c>
      <c r="B15" s="8">
        <v>0.28000000000000003</v>
      </c>
      <c r="C15" s="9">
        <v>2.3800000000000002E-2</v>
      </c>
      <c r="D15" s="9">
        <v>0.05</v>
      </c>
      <c r="E15" s="9">
        <v>8.1699999999999995E-2</v>
      </c>
      <c r="F15" s="8">
        <v>1.91</v>
      </c>
      <c r="G15" s="9">
        <v>0.45400000000000001</v>
      </c>
      <c r="H15" s="8">
        <v>0.83</v>
      </c>
      <c r="I15" s="10" t="s">
        <v>75</v>
      </c>
      <c r="J15" s="8" t="s">
        <v>31</v>
      </c>
      <c r="K15" s="11">
        <v>0.17225222741435739</v>
      </c>
    </row>
    <row r="16" spans="1:14" x14ac:dyDescent="0.25">
      <c r="A16" s="14" t="s">
        <v>50</v>
      </c>
      <c r="B16" s="6">
        <v>8.9999999999999993E-3</v>
      </c>
      <c r="C16" s="9">
        <v>2.46E-2</v>
      </c>
      <c r="D16" s="9">
        <v>3.2800000000000003E-2</v>
      </c>
      <c r="E16" s="9">
        <v>-0.37890000000000001</v>
      </c>
      <c r="F16" s="8">
        <v>1.57</v>
      </c>
      <c r="G16" s="9">
        <v>0.39800000000000002</v>
      </c>
      <c r="H16" s="8">
        <v>0.66</v>
      </c>
      <c r="I16" s="10" t="s">
        <v>76</v>
      </c>
      <c r="J16" s="8" t="s">
        <v>30</v>
      </c>
      <c r="K16" s="11">
        <v>5.389039416111685E-2</v>
      </c>
    </row>
    <row r="17" spans="1:11" x14ac:dyDescent="0.25">
      <c r="A17" s="14" t="s">
        <v>51</v>
      </c>
      <c r="B17" s="8">
        <v>0.70899999999999996</v>
      </c>
      <c r="C17" s="13">
        <v>0.19</v>
      </c>
      <c r="D17" s="9">
        <v>0.22700000000000001</v>
      </c>
      <c r="E17" s="9">
        <v>7.0999999999999994E-2</v>
      </c>
      <c r="F17" s="8">
        <v>1.87</v>
      </c>
      <c r="G17" s="9">
        <v>0.34970000000000001</v>
      </c>
      <c r="H17" s="8">
        <v>0.54</v>
      </c>
      <c r="I17" s="10" t="s">
        <v>77</v>
      </c>
      <c r="J17" s="12" t="s">
        <v>19</v>
      </c>
      <c r="K17" s="11">
        <v>8.9622932706992189E-2</v>
      </c>
    </row>
    <row r="18" spans="1:11" x14ac:dyDescent="0.25">
      <c r="A18" s="15" t="s">
        <v>52</v>
      </c>
      <c r="B18" s="8">
        <v>1.34</v>
      </c>
      <c r="C18" s="9">
        <v>5.6399999999999999E-2</v>
      </c>
      <c r="D18" s="9">
        <v>0.1825</v>
      </c>
      <c r="E18" s="9">
        <v>0.156</v>
      </c>
      <c r="F18" s="8">
        <v>1.45</v>
      </c>
      <c r="G18" s="9">
        <v>0.45900000000000002</v>
      </c>
      <c r="H18" s="8">
        <v>0.85</v>
      </c>
      <c r="I18" s="10" t="s">
        <v>78</v>
      </c>
      <c r="J18" s="8" t="s">
        <v>29</v>
      </c>
      <c r="K18" s="11">
        <v>-0.15293923857290528</v>
      </c>
    </row>
    <row r="19" spans="1:11" x14ac:dyDescent="0.25">
      <c r="A19" s="15" t="s">
        <v>53</v>
      </c>
      <c r="B19" s="6">
        <v>0.83</v>
      </c>
      <c r="C19" s="9">
        <v>0.14399999999999999</v>
      </c>
      <c r="D19" s="9">
        <v>0.22900000000000001</v>
      </c>
      <c r="E19" s="9">
        <v>1.0999999999999999E-2</v>
      </c>
      <c r="F19" s="8">
        <v>2.27</v>
      </c>
      <c r="G19" s="9">
        <v>0.45200000000000001</v>
      </c>
      <c r="H19" s="8">
        <v>0.88</v>
      </c>
      <c r="I19" s="10" t="s">
        <v>79</v>
      </c>
      <c r="J19" s="6" t="s">
        <v>28</v>
      </c>
      <c r="K19" s="11">
        <v>3.9148995602851774E-2</v>
      </c>
    </row>
    <row r="20" spans="1:11" x14ac:dyDescent="0.25">
      <c r="A20" s="16" t="s">
        <v>92</v>
      </c>
      <c r="B20" s="8">
        <v>-0.37</v>
      </c>
      <c r="C20" s="9">
        <v>-1.14E-2</v>
      </c>
      <c r="D20" s="9">
        <v>-0.104</v>
      </c>
      <c r="E20" s="9">
        <v>-8.7999999999999995E-2</v>
      </c>
      <c r="F20" s="8">
        <v>0.7</v>
      </c>
      <c r="G20" s="9">
        <v>0.93359999999999999</v>
      </c>
      <c r="H20" s="8">
        <v>14.5</v>
      </c>
      <c r="I20" s="10" t="s">
        <v>80</v>
      </c>
      <c r="J20" s="8" t="s">
        <v>27</v>
      </c>
      <c r="K20" s="11">
        <v>1.0550149420349333E-2</v>
      </c>
    </row>
    <row r="21" spans="1:11" x14ac:dyDescent="0.25">
      <c r="A21" s="14" t="s">
        <v>54</v>
      </c>
      <c r="B21" s="8">
        <v>64</v>
      </c>
      <c r="C21" s="9">
        <v>3.9800000000000002E-2</v>
      </c>
      <c r="D21" s="9">
        <v>0.11169999999999999</v>
      </c>
      <c r="E21" s="9">
        <v>3.0499999999999999E-2</v>
      </c>
      <c r="F21" s="8">
        <v>1.07</v>
      </c>
      <c r="G21" s="9">
        <v>0.65569999999999995</v>
      </c>
      <c r="H21" s="8">
        <v>2.38</v>
      </c>
      <c r="I21" s="10" t="s">
        <v>81</v>
      </c>
      <c r="J21" s="6" t="s">
        <v>14</v>
      </c>
      <c r="K21" s="11">
        <v>0.2321528349219931</v>
      </c>
    </row>
    <row r="22" spans="1:11" x14ac:dyDescent="0.25">
      <c r="A22" s="15" t="s">
        <v>55</v>
      </c>
      <c r="B22" s="8">
        <v>0.65900000000000003</v>
      </c>
      <c r="C22" s="9">
        <v>0.93899999999999995</v>
      </c>
      <c r="D22" s="9">
        <v>0.1842</v>
      </c>
      <c r="E22" s="9">
        <v>0.69399999999999995</v>
      </c>
      <c r="F22" s="6">
        <v>1.4</v>
      </c>
      <c r="G22" s="9">
        <v>0.35</v>
      </c>
      <c r="H22" s="8">
        <v>0.14000000000000001</v>
      </c>
      <c r="I22" s="10" t="s">
        <v>82</v>
      </c>
      <c r="J22" s="6" t="s">
        <v>13</v>
      </c>
      <c r="K22" s="11">
        <v>4.5858966618680663E-3</v>
      </c>
    </row>
    <row r="23" spans="1:11" x14ac:dyDescent="0.25">
      <c r="A23" s="15" t="s">
        <v>56</v>
      </c>
      <c r="B23" s="8">
        <v>0.5</v>
      </c>
      <c r="C23" s="9">
        <v>2.6800000000000001E-2</v>
      </c>
      <c r="D23" s="9">
        <v>7.0099999999999996E-2</v>
      </c>
      <c r="E23" s="9">
        <v>0.34310000000000002</v>
      </c>
      <c r="F23" s="8">
        <v>1.41</v>
      </c>
      <c r="G23" s="9">
        <v>0.5806</v>
      </c>
      <c r="H23" s="8">
        <v>1.38</v>
      </c>
      <c r="I23" s="10" t="s">
        <v>83</v>
      </c>
      <c r="J23" s="6" t="s">
        <v>26</v>
      </c>
      <c r="K23" s="11">
        <v>5.4028739352455701E-3</v>
      </c>
    </row>
    <row r="24" spans="1:11" x14ac:dyDescent="0.25">
      <c r="A24" s="14" t="s">
        <v>57</v>
      </c>
      <c r="B24" s="8">
        <v>1.05</v>
      </c>
      <c r="C24" s="9">
        <v>0.20569999999999999</v>
      </c>
      <c r="D24" s="9">
        <v>0.2117</v>
      </c>
      <c r="E24" s="9">
        <v>2.9600000000000001E-2</v>
      </c>
      <c r="F24" s="8">
        <v>3.3</v>
      </c>
      <c r="G24" s="9">
        <v>0.33629999999999999</v>
      </c>
      <c r="H24" s="8">
        <v>0.51</v>
      </c>
      <c r="I24" s="10" t="s">
        <v>84</v>
      </c>
      <c r="J24" s="6" t="s">
        <v>25</v>
      </c>
      <c r="K24" s="11">
        <v>0.40880928875440459</v>
      </c>
    </row>
    <row r="25" spans="1:11" x14ac:dyDescent="0.25">
      <c r="A25" s="15" t="s">
        <v>58</v>
      </c>
      <c r="B25" s="8">
        <v>1.7809999999999999</v>
      </c>
      <c r="C25" s="9">
        <v>7.0400000000000004E-2</v>
      </c>
      <c r="D25" s="9">
        <v>0.22140000000000001</v>
      </c>
      <c r="E25" s="9">
        <v>9.6299999999999997E-2</v>
      </c>
      <c r="F25" s="8">
        <v>1.79</v>
      </c>
      <c r="G25" s="9">
        <v>0.54210000000000003</v>
      </c>
      <c r="H25" s="8">
        <v>0.61</v>
      </c>
      <c r="I25" s="10" t="s">
        <v>85</v>
      </c>
      <c r="J25" s="6" t="s">
        <v>24</v>
      </c>
      <c r="K25" s="11">
        <v>-0.16558107505805469</v>
      </c>
    </row>
    <row r="26" spans="1:11" x14ac:dyDescent="0.25">
      <c r="A26" s="7" t="s">
        <v>59</v>
      </c>
      <c r="B26" s="8">
        <v>-2.69</v>
      </c>
      <c r="C26" s="9">
        <v>-3.9600000000000003E-2</v>
      </c>
      <c r="D26" s="9">
        <v>0.62129999999999996</v>
      </c>
      <c r="E26" s="9">
        <v>7.7100000000000002E-2</v>
      </c>
      <c r="F26" s="8">
        <v>0.67100000000000004</v>
      </c>
      <c r="G26" s="9">
        <v>1.1100000000000001</v>
      </c>
      <c r="H26" s="8">
        <v>-10.14</v>
      </c>
      <c r="I26" s="10" t="s">
        <v>86</v>
      </c>
      <c r="J26" s="6" t="s">
        <v>23</v>
      </c>
      <c r="K26" s="11">
        <v>-0.68707982938831103</v>
      </c>
    </row>
    <row r="27" spans="1:11" x14ac:dyDescent="0.25">
      <c r="A27" s="14" t="s">
        <v>60</v>
      </c>
      <c r="B27" s="8">
        <v>0.57999999999999996</v>
      </c>
      <c r="C27" s="9">
        <v>0.433</v>
      </c>
      <c r="D27" s="9">
        <v>0.222</v>
      </c>
      <c r="E27" s="9">
        <v>7.1999999999999995E-2</v>
      </c>
      <c r="F27" s="8">
        <v>5.0999999999999996</v>
      </c>
      <c r="G27" s="9">
        <v>0.156</v>
      </c>
      <c r="H27" s="8">
        <v>0.18</v>
      </c>
      <c r="I27" s="10" t="s">
        <v>87</v>
      </c>
      <c r="J27" s="6" t="s">
        <v>22</v>
      </c>
      <c r="K27" s="11">
        <v>0.48385080143732179</v>
      </c>
    </row>
    <row r="28" spans="1:11" x14ac:dyDescent="0.25">
      <c r="A28" s="14" t="s">
        <v>61</v>
      </c>
      <c r="B28" s="6">
        <v>0.43</v>
      </c>
      <c r="C28" s="9">
        <v>0.3906</v>
      </c>
      <c r="D28" s="9">
        <v>7.0199999999999999E-2</v>
      </c>
      <c r="E28" s="9">
        <v>0.38679999999999998</v>
      </c>
      <c r="F28" s="8">
        <v>20.38</v>
      </c>
      <c r="G28" s="9">
        <v>0.44059999999999999</v>
      </c>
      <c r="H28" s="8">
        <v>0.79</v>
      </c>
      <c r="I28" s="10" t="s">
        <v>88</v>
      </c>
      <c r="J28" s="6" t="s">
        <v>21</v>
      </c>
      <c r="K28" s="11">
        <v>0.12826798213274146</v>
      </c>
    </row>
    <row r="29" spans="1:11" x14ac:dyDescent="0.25">
      <c r="A29" s="14" t="s">
        <v>62</v>
      </c>
      <c r="B29" s="6">
        <v>0.96</v>
      </c>
      <c r="C29" s="13">
        <v>0.86</v>
      </c>
      <c r="D29" s="9">
        <v>0.32050000000000001</v>
      </c>
      <c r="E29" s="9">
        <v>0.315</v>
      </c>
      <c r="F29" s="8">
        <v>23.5</v>
      </c>
      <c r="G29" s="9">
        <v>4.87E-2</v>
      </c>
      <c r="H29" s="8">
        <v>0.05</v>
      </c>
      <c r="I29" s="10" t="s">
        <v>89</v>
      </c>
      <c r="J29" s="6" t="s">
        <v>20</v>
      </c>
      <c r="K29" s="11">
        <v>0.28557369056878379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arfaouieya</dc:creator>
  <cp:lastModifiedBy>arfaouieya</cp:lastModifiedBy>
  <dcterms:created xsi:type="dcterms:W3CDTF">2024-10-29T21:44:52Z</dcterms:created>
  <dcterms:modified xsi:type="dcterms:W3CDTF">2025-01-02T23:42:56Z</dcterms:modified>
</cp:coreProperties>
</file>